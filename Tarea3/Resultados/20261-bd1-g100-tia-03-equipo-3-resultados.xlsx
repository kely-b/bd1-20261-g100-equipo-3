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Inventario Modelo Lógico (corre" sheetId="2" r:id="rId5"/>
    <sheet state="visible" name="Tipos de Dato" sheetId="3" r:id="rId6"/>
    <sheet state="visible" name="DICCIONARIO DATOS (Físico)" sheetId="4" r:id="rId7"/>
  </sheets>
  <definedNames/>
  <calcPr/>
  <extLst>
    <ext uri="GoogleSheetsCustomDataVersion2">
      <go:sheetsCustomData xmlns:go="http://customooxmlschemas.google.com/" r:id="rId8" roundtripDataChecksum="2dBdSx+zUK2BBnf9axerhKZFqimgk7A8EXJBAPbtMiU="/>
    </ext>
  </extLst>
</workbook>
</file>

<file path=xl/sharedStrings.xml><?xml version="1.0" encoding="utf-8"?>
<sst xmlns="http://schemas.openxmlformats.org/spreadsheetml/2006/main" count="651" uniqueCount="259">
  <si>
    <t>Tablas resultantes del Diccionario Genérico (Modelo Lógico)</t>
  </si>
  <si>
    <t>#</t>
  </si>
  <si>
    <t>Tabla</t>
  </si>
  <si>
    <t>Descripción Tabla</t>
  </si>
  <si>
    <t>Observaciones</t>
  </si>
  <si>
    <t>usuario</t>
  </si>
  <si>
    <t>Persona que forma parte de la comunidad (estudiante, docente, egresado, empleado  o administrativo)</t>
  </si>
  <si>
    <t>Almacena la información básica del perfil</t>
  </si>
  <si>
    <t>publicacion</t>
  </si>
  <si>
    <t>Contenido compartido por un usuario (experiencias, logros, intereses).</t>
  </si>
  <si>
    <t>Cada publicación esta vinculada a un unico usuario</t>
  </si>
  <si>
    <t>comentario</t>
  </si>
  <si>
    <t>Respuesta de un usuario a una publicación.</t>
  </si>
  <si>
    <t>Interacción escrita del usuario.</t>
  </si>
  <si>
    <t>reaccion</t>
  </si>
  <si>
    <t>Expresión rápida de emoción hacia una publicación (me gusta, me encanta, etc.).</t>
  </si>
  <si>
    <t>Solo se permite un tipo de reacción en cada publicación para evitar duplicación</t>
  </si>
  <si>
    <t xml:space="preserve">grupo </t>
  </si>
  <si>
    <t>Comunidad que se dedica a investigar sobre temas en específico.</t>
  </si>
  <si>
    <t>Lista de un grupo</t>
  </si>
  <si>
    <t>evento</t>
  </si>
  <si>
    <t>Actividad social, cultural o académica organizada en la universidad.</t>
  </si>
  <si>
    <t>Registro de los usuarios mediante la reación usuario_evento</t>
  </si>
  <si>
    <t>servicio</t>
  </si>
  <si>
    <t>Elemento ofrecido para intercambiar en el Cambalache Store.</t>
  </si>
  <si>
    <t>Asociado a un usuario o empresa que lo publica</t>
  </si>
  <si>
    <t>empresa</t>
  </si>
  <si>
    <t>Organización externa que publica ofertas laborales a la comunidad</t>
  </si>
  <si>
    <t>Entidad de servicios y ofertas laborales</t>
  </si>
  <si>
    <t>oferta_laboral</t>
  </si>
  <si>
    <t>Registro de oportunidades laborales para los usuarios</t>
  </si>
  <si>
    <t xml:space="preserve"> </t>
  </si>
  <si>
    <t>seguidores</t>
  </si>
  <si>
    <t>Personas que se agregan como amigos a la red social</t>
  </si>
  <si>
    <t>Define quien te sigue y a quien sigues</t>
  </si>
  <si>
    <t>usuario_evento</t>
  </si>
  <si>
    <t>Registro de la participación o asistencia de un usuario a un evento específico</t>
  </si>
  <si>
    <t>Relación de usuario con eventos</t>
  </si>
  <si>
    <t>usuario_servicio</t>
  </si>
  <si>
    <t>Registro de la solicitud, reserva o gestión de intercambio de un servicio por parte de un usuario.</t>
  </si>
  <si>
    <t>Relación usuario con servicios</t>
  </si>
  <si>
    <t>usuario_ofertalaboral</t>
  </si>
  <si>
    <t>Registro de la postulación de un usuario a una oferta laboral publicada en la comunidad.</t>
  </si>
  <si>
    <t>Relación usuario con ofertas laborales</t>
  </si>
  <si>
    <t>usuario_grupo</t>
  </si>
  <si>
    <t>Registro de la membresía o afiliación de un usuario a un grupo de interés específico.</t>
  </si>
  <si>
    <t>Relación usuario con grupos</t>
  </si>
  <si>
    <t>perfil</t>
  </si>
  <si>
    <t>Biografia y otros datos adicionales del usuario</t>
  </si>
  <si>
    <t>Almacena informacion extra</t>
  </si>
  <si>
    <t>Tipos de Datos - Tabla Comparativa</t>
  </si>
  <si>
    <t>Tipo de Dato Genérico</t>
  </si>
  <si>
    <t>Tipos de Dato - PosgreSQL</t>
  </si>
  <si>
    <t>AUTOINCREMENTABLE</t>
  </si>
  <si>
    <t>SMALLSERIAL, SERIAL, BIGSERIAL, GENERATED ALWAYS AS IDENTITY, GENERATED BY DEFAULT AS IDENTITY</t>
  </si>
  <si>
    <t>UUID</t>
  </si>
  <si>
    <t>ENTERO</t>
  </si>
  <si>
    <t>SMALLINT, INT, BIGINT</t>
  </si>
  <si>
    <t>DECIMAL</t>
  </si>
  <si>
    <t xml:space="preserve">DECIMAL(p,s), REAL, DOUBLE PRECISION, FLOAT(p), MONEY </t>
  </si>
  <si>
    <t>LÓGICO</t>
  </si>
  <si>
    <t xml:space="preserve">BOOLEAN </t>
  </si>
  <si>
    <t>TEXTO</t>
  </si>
  <si>
    <t xml:space="preserve">TEXT, VARCHAR(n), NAME </t>
  </si>
  <si>
    <t>CARACTER</t>
  </si>
  <si>
    <t>CHAR(n)</t>
  </si>
  <si>
    <t>FECHA</t>
  </si>
  <si>
    <t>DATE</t>
  </si>
  <si>
    <t>FECHA_HORA</t>
  </si>
  <si>
    <t>TIMESTAMP, TIMESTAMPTZ, TIME, INTERVAL</t>
  </si>
  <si>
    <t>IMAGEN</t>
  </si>
  <si>
    <t>BYTEA, VARCHAR, OID</t>
  </si>
  <si>
    <t>AUDIO</t>
  </si>
  <si>
    <t>URL</t>
  </si>
  <si>
    <t>TEXT, VARCHAR</t>
  </si>
  <si>
    <t>ENUM</t>
  </si>
  <si>
    <t>CREATE TYPE nombre AS ENUM ('v1', 'v2'), VARCHAR con CHECK constraint,
TEXT con CHECK constraint</t>
  </si>
  <si>
    <t>TEXTO_CORTO (opcional)</t>
  </si>
  <si>
    <t>VARCHAR(n), CHAR(n), TEXT con CHECK (LENGTH(campo) &lt;= n)</t>
  </si>
  <si>
    <t>BINARIO (opcional)</t>
  </si>
  <si>
    <t>BYTEA, BIT(n), BIT VARYING(n)</t>
  </si>
  <si>
    <t>JSON</t>
  </si>
  <si>
    <t xml:space="preserve">JSONB, JSON, JSONPATH </t>
  </si>
  <si>
    <t>DICCIONARIO DE DATOS FÍSICO</t>
  </si>
  <si>
    <t>Inventario de Tablas</t>
  </si>
  <si>
    <t>Tablas en Detalle</t>
  </si>
  <si>
    <t>Versión</t>
  </si>
  <si>
    <t>1.0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</si>
  <si>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</si>
  <si>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</si>
  <si>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</si>
  <si>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</si>
  <si>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</si>
  <si>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</si>
  <si>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</si>
  <si>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</si>
  <si>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</si>
  <si>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id_usuario</t>
  </si>
  <si>
    <t>Identificador único del usuario en el sistema</t>
  </si>
  <si>
    <t>SERIAL</t>
  </si>
  <si>
    <t>X</t>
  </si>
  <si>
    <t>Número que se le asigna a un usuario y este se autoincrementa con la existencia de nuevos usuarios</t>
  </si>
  <si>
    <t>nombre</t>
  </si>
  <si>
    <t>Nombre del usuario</t>
  </si>
  <si>
    <t>VARCHAR</t>
  </si>
  <si>
    <t>apellido</t>
  </si>
  <si>
    <t>Apellidos completos del usuario</t>
  </si>
  <si>
    <t>rol</t>
  </si>
  <si>
    <t>Tipo de rol al que pertenece (Estudiante, profesor, administrador, egresado y empleado)</t>
  </si>
  <si>
    <t>VARCHAR con CHECK constraint</t>
  </si>
  <si>
    <t>correo</t>
  </si>
  <si>
    <t>Correo institucional</t>
  </si>
  <si>
    <t>sexo</t>
  </si>
  <si>
    <t>Sexo biologico (Masculino y femenino)</t>
  </si>
  <si>
    <t>telefono</t>
  </si>
  <si>
    <t>Número telefónico</t>
  </si>
  <si>
    <t>BIGINT</t>
  </si>
  <si>
    <t>fecha_nacimiento</t>
  </si>
  <si>
    <t>Fecha de nacimiento del usuario</t>
  </si>
  <si>
    <t>id_publicacion</t>
  </si>
  <si>
    <t>Código único que identifica cada publicación</t>
  </si>
  <si>
    <t>Número que se le asigna a una publicación y este se autoincrementa con la existencia de nuevas publicaciones</t>
  </si>
  <si>
    <t>Usuario autor de la publicación</t>
  </si>
  <si>
    <t>INT</t>
  </si>
  <si>
    <t>fecha_publicacion</t>
  </si>
  <si>
    <t>Día y hora en que se generó</t>
  </si>
  <si>
    <t>TIMESTAMP</t>
  </si>
  <si>
    <t>Número que se le asigna a la fecha de creación de una publicación y este se autoincrementa con la existencia de nuevas publicaciones</t>
  </si>
  <si>
    <t>texto</t>
  </si>
  <si>
    <t>Contenido detallado de la publicación</t>
  </si>
  <si>
    <t>TEXT</t>
  </si>
  <si>
    <t>N</t>
  </si>
  <si>
    <t>id_comentario</t>
  </si>
  <si>
    <t>Quien reacciona al comentario</t>
  </si>
  <si>
    <t>Número que se le asigna a un comentario y este se autoincrementa con la existencia de nuevos comentarios</t>
  </si>
  <si>
    <t>Quien realiza la publicación</t>
  </si>
  <si>
    <t>Identificador único del usuario que hace el comentario</t>
  </si>
  <si>
    <t>fecha_creacion</t>
  </si>
  <si>
    <t>Fecha exacta de la creación del comentario</t>
  </si>
  <si>
    <t>Texto, descripción principal de la publicación</t>
  </si>
  <si>
    <t>id_reaccion</t>
  </si>
  <si>
    <t>Quien reacciona alguna publicación</t>
  </si>
  <si>
    <t>Referencia de la publicación que recibe la reacción</t>
  </si>
  <si>
    <t>Identificador del usuario que reaccionó</t>
  </si>
  <si>
    <t>Fecha exacta de la que se reaccionó</t>
  </si>
  <si>
    <t>tipo_reaccion</t>
  </si>
  <si>
    <t>Reacción que realizó el usuario (me gusta, me encanta, etc.)</t>
  </si>
  <si>
    <t xml:space="preserve">Comunidad que se dedica a investigar sobre temas en específico. </t>
  </si>
  <si>
    <t>id_grupo</t>
  </si>
  <si>
    <t>Identificador único del grupo</t>
  </si>
  <si>
    <t>id_administrador</t>
  </si>
  <si>
    <t>Identificador de la persona encargada de manejar el grupo</t>
  </si>
  <si>
    <t>Nombre del grupo</t>
  </si>
  <si>
    <t>descripcion</t>
  </si>
  <si>
    <t>Explicación del propósito del grupo</t>
  </si>
  <si>
    <t>tipo_grupo</t>
  </si>
  <si>
    <t>Mentoría, proyecto, egresados, apoyo academico, interés</t>
  </si>
  <si>
    <t>fecha_creación</t>
  </si>
  <si>
    <t>Fecha donde se crea el grupo</t>
  </si>
  <si>
    <t>id_evento</t>
  </si>
  <si>
    <t>Identificador único del evento</t>
  </si>
  <si>
    <t>id_creador</t>
  </si>
  <si>
    <t>Usuario que crea el evento</t>
  </si>
  <si>
    <t>nombre_evento</t>
  </si>
  <si>
    <t>Nombre del evento</t>
  </si>
  <si>
    <t>fecha_hora_inicio</t>
  </si>
  <si>
    <t>Fecha y hora en que empieza el evento</t>
  </si>
  <si>
    <t>fecha_hora_finalizacion</t>
  </si>
  <si>
    <t>Fecha y hora en que finaliza el evento</t>
  </si>
  <si>
    <t>ubicacion</t>
  </si>
  <si>
    <t>Espacio donde se va realizar el evento</t>
  </si>
  <si>
    <t>tipo_evento</t>
  </si>
  <si>
    <t>Cultural, deportivo, conferencia, taller, seminario</t>
  </si>
  <si>
    <t>Detalles del evento</t>
  </si>
  <si>
    <t>id_articulo</t>
  </si>
  <si>
    <t>Código único del artículo o servicio</t>
  </si>
  <si>
    <t>id_usuario_ofertante</t>
  </si>
  <si>
    <t>Identificador del usuario que ofrece el producto o servicio.</t>
  </si>
  <si>
    <t>titulo</t>
  </si>
  <si>
    <t>Nombre del artículo o servicio</t>
  </si>
  <si>
    <t>tipo</t>
  </si>
  <si>
    <t>Tipo de intercambio (producto, servicio)</t>
  </si>
  <si>
    <t>Características del producto o servicio que se ofrece</t>
  </si>
  <si>
    <t>fecha_publicacion_oferta</t>
  </si>
  <si>
    <t>Fecha exacta en que se publica la oferta</t>
  </si>
  <si>
    <t>Estado_oferta</t>
  </si>
  <si>
    <t>Estado (Disponible, en reserva, no hay)</t>
  </si>
  <si>
    <t>id_empresa</t>
  </si>
  <si>
    <t>Identificador única de la empresa</t>
  </si>
  <si>
    <t>nombre_empresa</t>
  </si>
  <si>
    <t>Nombre comercial de la empresa</t>
  </si>
  <si>
    <t>actividad_comercial</t>
  </si>
  <si>
    <t>Área a la que se dedica</t>
  </si>
  <si>
    <t>Sector donde está ubicada</t>
  </si>
  <si>
    <t>nit_empresa</t>
  </si>
  <si>
    <t>Número de Identificación Tributaria</t>
  </si>
  <si>
    <t>id_oferta</t>
  </si>
  <si>
    <t>Identificador de la oferta</t>
  </si>
  <si>
    <t>Empresa que publica la oferta</t>
  </si>
  <si>
    <t>Usuario que se postula</t>
  </si>
  <si>
    <t>cargo</t>
  </si>
  <si>
    <t>Puesto de trabajo que se esta ofreciendo</t>
  </si>
  <si>
    <t>salario</t>
  </si>
  <si>
    <t>Salario designado para el cargo</t>
  </si>
  <si>
    <t>requisitos</t>
  </si>
  <si>
    <t>Perfil y requisitos que se solicitan para postularse</t>
  </si>
  <si>
    <t>fecha_apertura</t>
  </si>
  <si>
    <t>Fecha de inicio de la convocatoria</t>
  </si>
  <si>
    <t>fecha_cierre</t>
  </si>
  <si>
    <t>Fecha límite para la postulación</t>
  </si>
  <si>
    <t>id_seguidor</t>
  </si>
  <si>
    <t>Identificador unico del seguidor</t>
  </si>
  <si>
    <t>id_usuario_seguidor</t>
  </si>
  <si>
    <t>Identificador unico del usuario seguido</t>
  </si>
  <si>
    <t>id_usuario_seguido</t>
  </si>
  <si>
    <t>Identificador unico del usuario que sigue</t>
  </si>
  <si>
    <t>fecha_seguimiento</t>
  </si>
  <si>
    <t xml:space="preserve">Fecha donde se empiza a seguir a un usuario </t>
  </si>
  <si>
    <t>id_inscripcion</t>
  </si>
  <si>
    <t>Identificador único de la inscripción</t>
  </si>
  <si>
    <t>Usuario que se inscribe</t>
  </si>
  <si>
    <t>Evento al que se inscribe</t>
  </si>
  <si>
    <t>fecha_inscripcion</t>
  </si>
  <si>
    <t>Cuándo se inscribió</t>
  </si>
  <si>
    <t>estado_asistencia</t>
  </si>
  <si>
    <t>Confirmado, asistió, no asistió</t>
  </si>
  <si>
    <t>id_transaccion</t>
  </si>
  <si>
    <t>Identificador único del intercambio</t>
  </si>
  <si>
    <t>Usuario que ofrece el producto/servicio</t>
  </si>
  <si>
    <t>id_usuario_cliente</t>
  </si>
  <si>
    <t>Usuario que recibe o solicita el producto/servicio</t>
  </si>
  <si>
    <t>Producto o servicio intercambiado</t>
  </si>
  <si>
    <t>fecha_transaccion</t>
  </si>
  <si>
    <t>Cuándo se realizó la transacción</t>
  </si>
  <si>
    <t>id_postulacion</t>
  </si>
  <si>
    <t>Identificador único de la postulación</t>
  </si>
  <si>
    <t>Oferta laboral a la que se postula</t>
  </si>
  <si>
    <t>fecha_postulacion</t>
  </si>
  <si>
    <t>Cuándo se realizó la postulación</t>
  </si>
  <si>
    <t>estado</t>
  </si>
  <si>
    <t>En revisión, entrevista, aceptado, rechazado</t>
  </si>
  <si>
    <t>id_inscripcion_grupo</t>
  </si>
  <si>
    <t>El usuario se inscribió al grupo</t>
  </si>
  <si>
    <t>Usuario que pertenece al grupo</t>
  </si>
  <si>
    <t>Grupo al que pertenece el usuario</t>
  </si>
  <si>
    <t>fecha_ingreso</t>
  </si>
  <si>
    <t>Cuándo se unió el usuario al grupo</t>
  </si>
  <si>
    <t>id_perfil</t>
  </si>
  <si>
    <t>Perfil del usuario</t>
  </si>
  <si>
    <t>Usuario dueño del perfil</t>
  </si>
  <si>
    <t>biografia</t>
  </si>
  <si>
    <t>Informacion adicional del usuario</t>
  </si>
  <si>
    <t>edad</t>
  </si>
  <si>
    <t>Edad del usuario</t>
  </si>
  <si>
    <t>alias_usuario</t>
  </si>
  <si>
    <t xml:space="preserve">Nombre de usuario unico </t>
  </si>
  <si>
    <t>Fecha en que se crea el perfil</t>
  </si>
  <si>
    <t>semestre_cursado</t>
  </si>
  <si>
    <t>Semestre que se cursa actualmente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</si>
</sst>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4.0"/>
      <color rgb="FFFFFFFF"/>
      <name val="Calibri"/>
    </font>
    <font>
      <b/>
      <sz val="18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  <scheme val="minor"/>
    </font>
    <font>
      <b/>
      <sz val="12.0"/>
      <color rgb="FFFFFFFF"/>
      <name val="Calibri"/>
    </font>
    <font/>
    <font>
      <b/>
      <sz val="15.0"/>
      <color rgb="FF0000FF"/>
      <name val="Calibri"/>
    </font>
    <font>
      <b/>
      <sz val="14.0"/>
      <color theme="1"/>
      <name val="Calibri"/>
    </font>
    <font>
      <b/>
      <sz val="13.0"/>
      <color theme="1"/>
      <name val="Arial"/>
    </font>
    <font>
      <sz val="12.0"/>
      <color theme="1"/>
      <name val="Arial"/>
    </font>
    <font>
      <color theme="1"/>
      <name val="Arial"/>
    </font>
    <font>
      <sz val="11.0"/>
      <color theme="1"/>
      <name val="Calibri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1" fillId="4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2" fillId="0" fontId="6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vertical="center"/>
    </xf>
    <xf borderId="0" fillId="2" fontId="7" numFmtId="0" xfId="0" applyAlignment="1" applyFont="1">
      <alignment horizontal="center" vertical="center"/>
    </xf>
    <xf borderId="0" fillId="4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 vertical="center"/>
    </xf>
    <xf borderId="3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4" numFmtId="0" xfId="0" applyAlignment="1" applyBorder="1" applyFont="1">
      <alignment horizontal="left" shrinkToFit="0" vertical="center" wrapText="1"/>
    </xf>
    <xf borderId="9" fillId="0" fontId="8" numFmtId="0" xfId="0" applyBorder="1" applyFont="1"/>
    <xf borderId="10" fillId="0" fontId="8" numFmtId="0" xfId="0" applyBorder="1" applyFont="1"/>
    <xf borderId="8" fillId="0" fontId="5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horizontal="left" readingOrder="0" vertical="center"/>
    </xf>
    <xf borderId="8" fillId="0" fontId="5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8" fillId="0" fontId="5" numFmtId="0" xfId="0" applyAlignment="1" applyBorder="1" applyFont="1">
      <alignment horizontal="left" readingOrder="0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8" fillId="6" fontId="10" numFmtId="0" xfId="0" applyAlignment="1" applyBorder="1" applyFill="1" applyFont="1">
      <alignment horizontal="center" shrinkToFit="0" vertical="center" wrapText="1"/>
    </xf>
    <xf borderId="8" fillId="3" fontId="11" numFmtId="0" xfId="0" applyAlignment="1" applyBorder="1" applyFont="1">
      <alignment horizontal="center" shrinkToFit="0" vertical="center" wrapText="1"/>
    </xf>
    <xf borderId="8" fillId="3" fontId="12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11" fillId="0" fontId="8" numFmtId="0" xfId="0" applyBorder="1" applyFont="1"/>
    <xf borderId="12" fillId="0" fontId="8" numFmtId="0" xfId="0" applyBorder="1" applyFont="1"/>
    <xf borderId="8" fillId="3" fontId="13" numFmtId="0" xfId="0" applyAlignment="1" applyBorder="1" applyFont="1">
      <alignment horizontal="center" readingOrder="0" shrinkToFit="0" vertical="center" wrapText="1"/>
    </xf>
    <xf borderId="8" fillId="3" fontId="13" numFmtId="0" xfId="0" applyAlignment="1" applyBorder="1" applyFont="1">
      <alignment horizontal="center" shrinkToFit="0" vertical="center" wrapText="1"/>
    </xf>
    <xf borderId="8" fillId="3" fontId="13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8" fillId="0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1" fillId="6" fontId="4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8" fillId="6" fontId="10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8" fillId="3" fontId="13" numFmtId="0" xfId="0" applyAlignment="1" applyBorder="1" applyFont="1">
      <alignment horizontal="center" shrinkToFit="0" vertical="center" wrapText="1"/>
    </xf>
    <xf borderId="8" fillId="3" fontId="13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1" fillId="5" fontId="9" numFmtId="0" xfId="0" applyAlignment="1" applyBorder="1" applyFont="1">
      <alignment horizontal="center" shrinkToFit="0" vertical="center" wrapText="1"/>
    </xf>
    <xf borderId="8" fillId="3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 readingOrder="0" vertical="center"/>
    </xf>
    <xf borderId="8" fillId="3" fontId="1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11" fillId="0" fontId="1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8" fillId="0" fontId="12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77050" cy="5934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50.75"/>
    <col customWidth="1" min="4" max="4" width="39.38"/>
  </cols>
  <sheetData>
    <row r="1" ht="28.5" customHeight="1">
      <c r="A1" s="2" t="s">
        <v>0</v>
      </c>
      <c r="E1" s="3"/>
      <c r="F1" s="3"/>
      <c r="G1" s="3"/>
      <c r="H1" s="3"/>
      <c r="I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</row>
    <row r="3" ht="30.0" customHeight="1">
      <c r="A3" s="5">
        <v>1.0</v>
      </c>
      <c r="B3" s="6" t="s">
        <v>5</v>
      </c>
      <c r="C3" s="7" t="s">
        <v>6</v>
      </c>
      <c r="D3" s="7" t="s">
        <v>7</v>
      </c>
    </row>
    <row r="4" ht="30.0" customHeight="1">
      <c r="A4" s="5">
        <f t="shared" ref="A4:A27" si="1">A3+1</f>
        <v>2</v>
      </c>
      <c r="B4" s="6" t="s">
        <v>8</v>
      </c>
      <c r="C4" s="7" t="s">
        <v>9</v>
      </c>
      <c r="D4" s="7" t="s">
        <v>10</v>
      </c>
    </row>
    <row r="5" ht="30.0" customHeight="1">
      <c r="A5" s="5">
        <f t="shared" si="1"/>
        <v>3</v>
      </c>
      <c r="B5" s="6" t="s">
        <v>11</v>
      </c>
      <c r="C5" s="7" t="s">
        <v>12</v>
      </c>
      <c r="D5" s="7" t="s">
        <v>13</v>
      </c>
    </row>
    <row r="6" ht="30.0" customHeight="1">
      <c r="A6" s="5">
        <f t="shared" si="1"/>
        <v>4</v>
      </c>
      <c r="B6" s="6" t="s">
        <v>14</v>
      </c>
      <c r="C6" s="7" t="s">
        <v>15</v>
      </c>
      <c r="D6" s="7" t="s">
        <v>16</v>
      </c>
    </row>
    <row r="7" ht="30.0" customHeight="1">
      <c r="A7" s="5">
        <f t="shared" si="1"/>
        <v>5</v>
      </c>
      <c r="B7" s="6" t="s">
        <v>17</v>
      </c>
      <c r="C7" s="7" t="s">
        <v>18</v>
      </c>
      <c r="D7" s="7" t="s">
        <v>19</v>
      </c>
    </row>
    <row r="8" ht="30.0" customHeight="1">
      <c r="A8" s="5">
        <f t="shared" si="1"/>
        <v>6</v>
      </c>
      <c r="B8" s="6" t="s">
        <v>20</v>
      </c>
      <c r="C8" s="7" t="s">
        <v>21</v>
      </c>
      <c r="D8" s="7" t="s">
        <v>22</v>
      </c>
    </row>
    <row r="9" ht="30.0" customHeight="1">
      <c r="A9" s="5">
        <f t="shared" si="1"/>
        <v>7</v>
      </c>
      <c r="B9" s="6" t="s">
        <v>23</v>
      </c>
      <c r="C9" s="7" t="s">
        <v>24</v>
      </c>
      <c r="D9" s="7" t="s">
        <v>25</v>
      </c>
    </row>
    <row r="10" ht="30.0" customHeight="1">
      <c r="A10" s="5">
        <f t="shared" si="1"/>
        <v>8</v>
      </c>
      <c r="B10" s="6" t="s">
        <v>26</v>
      </c>
      <c r="C10" s="7" t="s">
        <v>27</v>
      </c>
      <c r="D10" s="7" t="s">
        <v>28</v>
      </c>
    </row>
    <row r="11" ht="30.0" customHeight="1">
      <c r="A11" s="5">
        <f t="shared" si="1"/>
        <v>9</v>
      </c>
      <c r="B11" s="6" t="s">
        <v>29</v>
      </c>
      <c r="C11" s="7" t="s">
        <v>27</v>
      </c>
      <c r="D11" s="7" t="s">
        <v>30</v>
      </c>
      <c r="G11" s="8" t="s">
        <v>31</v>
      </c>
    </row>
    <row r="12" ht="30.0" customHeight="1">
      <c r="A12" s="5">
        <f t="shared" si="1"/>
        <v>10</v>
      </c>
      <c r="B12" s="6" t="s">
        <v>32</v>
      </c>
      <c r="C12" s="9" t="s">
        <v>33</v>
      </c>
      <c r="D12" s="9" t="s">
        <v>34</v>
      </c>
    </row>
    <row r="13" ht="30.0" customHeight="1">
      <c r="A13" s="5">
        <f t="shared" si="1"/>
        <v>11</v>
      </c>
      <c r="B13" s="6" t="s">
        <v>35</v>
      </c>
      <c r="C13" s="7" t="s">
        <v>36</v>
      </c>
      <c r="D13" s="7" t="s">
        <v>37</v>
      </c>
    </row>
    <row r="14" ht="30.0" customHeight="1">
      <c r="A14" s="5">
        <f t="shared" si="1"/>
        <v>12</v>
      </c>
      <c r="B14" s="10" t="s">
        <v>38</v>
      </c>
      <c r="C14" s="7" t="s">
        <v>39</v>
      </c>
      <c r="D14" s="7" t="s">
        <v>40</v>
      </c>
    </row>
    <row r="15" ht="30.0" customHeight="1">
      <c r="A15" s="5">
        <f t="shared" si="1"/>
        <v>13</v>
      </c>
      <c r="B15" s="10" t="s">
        <v>41</v>
      </c>
      <c r="C15" s="7" t="s">
        <v>42</v>
      </c>
      <c r="D15" s="11" t="s">
        <v>43</v>
      </c>
    </row>
    <row r="16" ht="30.0" customHeight="1">
      <c r="A16" s="5">
        <f t="shared" si="1"/>
        <v>14</v>
      </c>
      <c r="B16" s="10" t="s">
        <v>44</v>
      </c>
      <c r="C16" s="7" t="s">
        <v>45</v>
      </c>
      <c r="D16" s="11" t="s">
        <v>46</v>
      </c>
    </row>
    <row r="17" ht="30.0" customHeight="1">
      <c r="A17" s="5">
        <f t="shared" si="1"/>
        <v>15</v>
      </c>
      <c r="B17" s="10" t="s">
        <v>47</v>
      </c>
      <c r="C17" s="12" t="s">
        <v>48</v>
      </c>
      <c r="D17" s="12" t="s">
        <v>49</v>
      </c>
    </row>
    <row r="18" ht="30.0" customHeight="1">
      <c r="A18" s="5">
        <f t="shared" si="1"/>
        <v>16</v>
      </c>
      <c r="B18" s="13"/>
      <c r="C18" s="13"/>
      <c r="D18" s="13"/>
    </row>
    <row r="19" ht="30.0" customHeight="1">
      <c r="A19" s="5">
        <f t="shared" si="1"/>
        <v>17</v>
      </c>
      <c r="B19" s="13"/>
      <c r="C19" s="13"/>
      <c r="D19" s="13"/>
    </row>
    <row r="20" ht="30.0" customHeight="1">
      <c r="A20" s="5">
        <f t="shared" si="1"/>
        <v>18</v>
      </c>
      <c r="B20" s="13"/>
      <c r="C20" s="13"/>
      <c r="D20" s="13"/>
    </row>
    <row r="21" ht="30.0" customHeight="1">
      <c r="A21" s="5">
        <f t="shared" si="1"/>
        <v>19</v>
      </c>
      <c r="B21" s="13"/>
      <c r="C21" s="13"/>
      <c r="D21" s="13"/>
    </row>
    <row r="22" ht="30.0" customHeight="1">
      <c r="A22" s="5">
        <f t="shared" si="1"/>
        <v>20</v>
      </c>
      <c r="B22" s="13"/>
      <c r="C22" s="13"/>
      <c r="D22" s="13"/>
    </row>
    <row r="23" ht="30.0" customHeight="1">
      <c r="A23" s="5">
        <f t="shared" si="1"/>
        <v>21</v>
      </c>
      <c r="B23" s="13"/>
      <c r="C23" s="13"/>
      <c r="D23" s="13"/>
    </row>
    <row r="24" ht="30.0" customHeight="1">
      <c r="A24" s="5">
        <f t="shared" si="1"/>
        <v>22</v>
      </c>
      <c r="B24" s="13"/>
      <c r="C24" s="13"/>
      <c r="D24" s="13"/>
    </row>
    <row r="25" ht="30.0" customHeight="1">
      <c r="A25" s="5">
        <f t="shared" si="1"/>
        <v>23</v>
      </c>
      <c r="B25" s="13"/>
      <c r="C25" s="13"/>
      <c r="D25" s="13"/>
    </row>
    <row r="26" ht="30.0" customHeight="1">
      <c r="A26" s="5">
        <f t="shared" si="1"/>
        <v>24</v>
      </c>
      <c r="B26" s="13"/>
      <c r="C26" s="13"/>
      <c r="D26" s="13"/>
    </row>
    <row r="27" ht="30.0" customHeight="1">
      <c r="A27" s="5">
        <f t="shared" si="1"/>
        <v>25</v>
      </c>
      <c r="B27" s="13"/>
      <c r="C27" s="13"/>
      <c r="D27" s="1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38.0"/>
  </cols>
  <sheetData>
    <row r="1" ht="28.5" customHeight="1">
      <c r="A1" s="14" t="s">
        <v>50</v>
      </c>
      <c r="D1" s="3"/>
      <c r="E1" s="3"/>
      <c r="F1" s="3"/>
      <c r="G1" s="3"/>
      <c r="H1" s="3"/>
    </row>
    <row r="2" ht="36.0" customHeight="1">
      <c r="A2" s="4" t="s">
        <v>1</v>
      </c>
      <c r="B2" s="15" t="s">
        <v>51</v>
      </c>
      <c r="C2" s="4" t="s">
        <v>52</v>
      </c>
    </row>
    <row r="3" ht="44.25" customHeight="1">
      <c r="A3" s="5">
        <v>1.0</v>
      </c>
      <c r="B3" s="16" t="s">
        <v>53</v>
      </c>
      <c r="C3" s="6" t="s">
        <v>54</v>
      </c>
    </row>
    <row r="4" ht="30.0" customHeight="1">
      <c r="A4" s="5">
        <f t="shared" ref="A4:A18" si="1">A3+1</f>
        <v>2</v>
      </c>
      <c r="B4" s="16" t="s">
        <v>55</v>
      </c>
      <c r="C4" s="6" t="s">
        <v>55</v>
      </c>
    </row>
    <row r="5" ht="30.0" customHeight="1">
      <c r="A5" s="5">
        <f t="shared" si="1"/>
        <v>3</v>
      </c>
      <c r="B5" s="16" t="s">
        <v>56</v>
      </c>
      <c r="C5" s="6" t="s">
        <v>57</v>
      </c>
    </row>
    <row r="6" ht="30.0" customHeight="1">
      <c r="A6" s="5">
        <f t="shared" si="1"/>
        <v>4</v>
      </c>
      <c r="B6" s="16" t="s">
        <v>58</v>
      </c>
      <c r="C6" s="6" t="s">
        <v>59</v>
      </c>
    </row>
    <row r="7" ht="30.0" customHeight="1">
      <c r="A7" s="5">
        <f t="shared" si="1"/>
        <v>5</v>
      </c>
      <c r="B7" s="16" t="s">
        <v>60</v>
      </c>
      <c r="C7" s="6" t="s">
        <v>61</v>
      </c>
    </row>
    <row r="8" ht="30.0" customHeight="1">
      <c r="A8" s="5">
        <f t="shared" si="1"/>
        <v>6</v>
      </c>
      <c r="B8" s="16" t="s">
        <v>62</v>
      </c>
      <c r="C8" s="6" t="s">
        <v>63</v>
      </c>
    </row>
    <row r="9" ht="30.0" customHeight="1">
      <c r="A9" s="5">
        <f t="shared" si="1"/>
        <v>7</v>
      </c>
      <c r="B9" s="16" t="s">
        <v>64</v>
      </c>
      <c r="C9" s="6" t="s">
        <v>65</v>
      </c>
    </row>
    <row r="10" ht="30.0" customHeight="1">
      <c r="A10" s="5">
        <f t="shared" si="1"/>
        <v>8</v>
      </c>
      <c r="B10" s="16" t="s">
        <v>66</v>
      </c>
      <c r="C10" s="6" t="s">
        <v>67</v>
      </c>
    </row>
    <row r="11" ht="30.0" customHeight="1">
      <c r="A11" s="5">
        <f t="shared" si="1"/>
        <v>9</v>
      </c>
      <c r="B11" s="16" t="s">
        <v>68</v>
      </c>
      <c r="C11" s="6" t="s">
        <v>69</v>
      </c>
    </row>
    <row r="12" ht="30.0" customHeight="1">
      <c r="A12" s="5">
        <f t="shared" si="1"/>
        <v>10</v>
      </c>
      <c r="B12" s="16" t="s">
        <v>70</v>
      </c>
      <c r="C12" s="6" t="s">
        <v>71</v>
      </c>
    </row>
    <row r="13" ht="30.0" customHeight="1">
      <c r="A13" s="5">
        <f t="shared" si="1"/>
        <v>11</v>
      </c>
      <c r="B13" s="16" t="s">
        <v>72</v>
      </c>
      <c r="C13" s="6" t="s">
        <v>71</v>
      </c>
    </row>
    <row r="14" ht="30.0" customHeight="1">
      <c r="A14" s="5">
        <f t="shared" si="1"/>
        <v>12</v>
      </c>
      <c r="B14" s="16" t="s">
        <v>73</v>
      </c>
      <c r="C14" s="10" t="s">
        <v>74</v>
      </c>
    </row>
    <row r="15" ht="43.5" customHeight="1">
      <c r="A15" s="5">
        <f t="shared" si="1"/>
        <v>13</v>
      </c>
      <c r="B15" s="16" t="s">
        <v>75</v>
      </c>
      <c r="C15" s="6" t="s">
        <v>76</v>
      </c>
    </row>
    <row r="16" ht="32.25" customHeight="1">
      <c r="A16" s="5">
        <f t="shared" si="1"/>
        <v>14</v>
      </c>
      <c r="B16" s="16" t="s">
        <v>77</v>
      </c>
      <c r="C16" s="6" t="s">
        <v>78</v>
      </c>
    </row>
    <row r="17" ht="30.0" customHeight="1">
      <c r="A17" s="5">
        <f t="shared" si="1"/>
        <v>15</v>
      </c>
      <c r="B17" s="16" t="s">
        <v>79</v>
      </c>
      <c r="C17" s="10" t="s">
        <v>80</v>
      </c>
    </row>
    <row r="18" ht="27.75" customHeight="1">
      <c r="A18" s="5">
        <f t="shared" si="1"/>
        <v>16</v>
      </c>
      <c r="B18" s="16" t="s">
        <v>81</v>
      </c>
      <c r="C18" s="17" t="s">
        <v>82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6.5"/>
    <col customWidth="1" min="3" max="3" width="13.38"/>
    <col customWidth="1" min="4" max="5" width="3.88"/>
    <col customWidth="1" min="6" max="6" width="7.13"/>
    <col customWidth="1" min="7" max="9" width="3.88"/>
    <col customWidth="1" min="10" max="10" width="5.25"/>
    <col customWidth="1" min="11" max="22" width="3.88"/>
    <col customWidth="1" min="23" max="23" width="7.88"/>
    <col customWidth="1" min="24" max="24" width="17.0"/>
    <col customWidth="1" min="25" max="25" width="30.38"/>
  </cols>
  <sheetData>
    <row r="1" ht="25.5" customHeight="1">
      <c r="A1" s="14" t="s">
        <v>83</v>
      </c>
    </row>
    <row r="2" ht="30.75" customHeight="1">
      <c r="A2" s="14" t="s">
        <v>84</v>
      </c>
    </row>
    <row r="3" ht="25.5" customHeight="1">
      <c r="A3" s="18" t="s">
        <v>1</v>
      </c>
      <c r="B3" s="19" t="s">
        <v>2</v>
      </c>
      <c r="C3" s="20"/>
      <c r="D3" s="20"/>
      <c r="E3" s="21"/>
      <c r="F3" s="19" t="s">
        <v>3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/>
      <c r="X3" s="19" t="s">
        <v>4</v>
      </c>
      <c r="Y3" s="22"/>
    </row>
    <row r="4" ht="31.5" customHeight="1">
      <c r="A4" s="5">
        <v>1.0</v>
      </c>
      <c r="B4" s="23" t="str">
        <f>'Inventario Modelo Lógico (corre'!B3</f>
        <v>usuario</v>
      </c>
      <c r="C4" s="24"/>
      <c r="D4" s="24"/>
      <c r="E4" s="25"/>
      <c r="F4" s="26" t="s">
        <v>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5"/>
      <c r="X4" s="26" t="s">
        <v>7</v>
      </c>
      <c r="Y4" s="25"/>
    </row>
    <row r="5" ht="30.0" customHeight="1">
      <c r="A5" s="5">
        <f t="shared" ref="A5:A28" si="1">A4+1</f>
        <v>2</v>
      </c>
      <c r="B5" s="23" t="str">
        <f>'Inventario Modelo Lógico (corre'!B4</f>
        <v>publicacion</v>
      </c>
      <c r="C5" s="24"/>
      <c r="D5" s="24"/>
      <c r="E5" s="25"/>
      <c r="F5" s="27" t="s">
        <v>9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5"/>
      <c r="X5" s="26" t="s">
        <v>10</v>
      </c>
      <c r="Y5" s="25"/>
    </row>
    <row r="6" ht="30.0" customHeight="1">
      <c r="A6" s="5">
        <f t="shared" si="1"/>
        <v>3</v>
      </c>
      <c r="B6" s="23" t="str">
        <f>'Inventario Modelo Lógico (corre'!B5</f>
        <v>comentario</v>
      </c>
      <c r="C6" s="24"/>
      <c r="D6" s="24"/>
      <c r="E6" s="25"/>
      <c r="F6" s="27" t="s">
        <v>12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5"/>
      <c r="X6" s="26" t="s">
        <v>13</v>
      </c>
      <c r="Y6" s="25"/>
    </row>
    <row r="7" ht="30.0" customHeight="1">
      <c r="A7" s="5">
        <f t="shared" si="1"/>
        <v>4</v>
      </c>
      <c r="B7" s="23" t="str">
        <f>'Inventario Modelo Lógico (corre'!B6</f>
        <v>reaccion</v>
      </c>
      <c r="C7" s="24"/>
      <c r="D7" s="24"/>
      <c r="E7" s="25"/>
      <c r="F7" s="27" t="s">
        <v>15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5"/>
      <c r="X7" s="26" t="s">
        <v>16</v>
      </c>
      <c r="Y7" s="25"/>
    </row>
    <row r="8" ht="30.0" customHeight="1">
      <c r="A8" s="5">
        <f t="shared" si="1"/>
        <v>5</v>
      </c>
      <c r="B8" s="23" t="str">
        <f>'Inventario Modelo Lógico (corre'!B7</f>
        <v>grupo </v>
      </c>
      <c r="C8" s="24"/>
      <c r="D8" s="24"/>
      <c r="E8" s="25"/>
      <c r="F8" s="28" t="str">
        <f>'Inventario Modelo Lógico (corre'!C7</f>
        <v>Comunidad que se dedica a investigar sobre temas en específico.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5"/>
      <c r="X8" s="26" t="s">
        <v>19</v>
      </c>
      <c r="Y8" s="25"/>
    </row>
    <row r="9" ht="30.0" customHeight="1">
      <c r="A9" s="5">
        <f t="shared" si="1"/>
        <v>6</v>
      </c>
      <c r="B9" s="23" t="str">
        <f>'Inventario Modelo Lógico (corre'!B8</f>
        <v>evento</v>
      </c>
      <c r="C9" s="24"/>
      <c r="D9" s="24"/>
      <c r="E9" s="25"/>
      <c r="F9" s="28" t="str">
        <f>'Inventario Modelo Lógico (corre'!C8</f>
        <v>Actividad social, cultural o académica organizada en la universidad.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5"/>
      <c r="X9" s="26" t="s">
        <v>22</v>
      </c>
      <c r="Y9" s="25"/>
    </row>
    <row r="10" ht="30.0" customHeight="1">
      <c r="A10" s="5">
        <f t="shared" si="1"/>
        <v>7</v>
      </c>
      <c r="B10" s="23" t="str">
        <f>'Inventario Modelo Lógico (corre'!B9</f>
        <v>servicio</v>
      </c>
      <c r="C10" s="24"/>
      <c r="D10" s="24"/>
      <c r="E10" s="25"/>
      <c r="F10" s="28" t="str">
        <f>'Inventario Modelo Lógico (corre'!C9</f>
        <v>Elemento ofrecido para intercambiar en el Cambalache Store.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5"/>
      <c r="X10" s="26" t="s">
        <v>25</v>
      </c>
      <c r="Y10" s="25"/>
    </row>
    <row r="11" ht="30.0" customHeight="1">
      <c r="A11" s="5">
        <f t="shared" si="1"/>
        <v>8</v>
      </c>
      <c r="B11" s="23" t="str">
        <f>'Inventario Modelo Lógico (corre'!B10</f>
        <v>empresa</v>
      </c>
      <c r="C11" s="24"/>
      <c r="D11" s="24"/>
      <c r="E11" s="25"/>
      <c r="F11" s="28" t="str">
        <f>'Inventario Modelo Lógico (corre'!C10</f>
        <v>Organización externa que publica ofertas laborales a la comunidad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5"/>
      <c r="X11" s="26" t="s">
        <v>28</v>
      </c>
      <c r="Y11" s="25"/>
    </row>
    <row r="12" ht="30.0" customHeight="1">
      <c r="A12" s="5">
        <f t="shared" si="1"/>
        <v>9</v>
      </c>
      <c r="B12" s="23" t="str">
        <f>'Inventario Modelo Lógico (corre'!B11</f>
        <v>oferta_laboral</v>
      </c>
      <c r="C12" s="24"/>
      <c r="D12" s="24"/>
      <c r="E12" s="25"/>
      <c r="F12" s="28" t="str">
        <f>'Inventario Modelo Lógico (corre'!C11</f>
        <v>Organización externa que publica ofertas laborales a la comunidad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5"/>
      <c r="X12" s="26" t="s">
        <v>30</v>
      </c>
      <c r="Y12" s="25"/>
    </row>
    <row r="13" ht="30.0" customHeight="1">
      <c r="A13" s="5">
        <f t="shared" si="1"/>
        <v>10</v>
      </c>
      <c r="B13" s="23" t="str">
        <f>'Inventario Modelo Lógico (corre'!B12</f>
        <v>seguidores</v>
      </c>
      <c r="C13" s="24"/>
      <c r="D13" s="24"/>
      <c r="E13" s="25"/>
      <c r="F13" s="29" t="str">
        <f>'Inventario Modelo Lógico (corre'!C12</f>
        <v>Personas que se agregan como amigos a la red social</v>
      </c>
      <c r="X13" s="26" t="s">
        <v>34</v>
      </c>
      <c r="Y13" s="25"/>
    </row>
    <row r="14" ht="30.0" customHeight="1">
      <c r="A14" s="5">
        <f t="shared" si="1"/>
        <v>11</v>
      </c>
      <c r="B14" s="23" t="str">
        <f>'Inventario Modelo Lógico (corre'!B13</f>
        <v>usuario_evento</v>
      </c>
      <c r="C14" s="24"/>
      <c r="D14" s="24"/>
      <c r="E14" s="25"/>
      <c r="F14" s="28" t="str">
        <f>'Inventario Modelo Lógico (corre'!C13</f>
        <v>Registro de la participación o asistencia de un usuario a un evento específico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5"/>
      <c r="X14" s="26" t="s">
        <v>37</v>
      </c>
      <c r="Y14" s="25"/>
    </row>
    <row r="15" ht="30.0" customHeight="1">
      <c r="A15" s="5">
        <f t="shared" si="1"/>
        <v>12</v>
      </c>
      <c r="B15" s="23" t="str">
        <f>'Inventario Modelo Lógico (corre'!B14</f>
        <v>usuario_servicio</v>
      </c>
      <c r="C15" s="24"/>
      <c r="D15" s="24"/>
      <c r="E15" s="25"/>
      <c r="F15" s="28" t="str">
        <f>'Inventario Modelo Lógico (corre'!C14</f>
        <v>Registro de la solicitud, reserva o gestión de intercambio de un servicio por parte de un usuario.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5"/>
      <c r="X15" s="26" t="s">
        <v>40</v>
      </c>
      <c r="Y15" s="25"/>
    </row>
    <row r="16" ht="30.0" customHeight="1">
      <c r="A16" s="5">
        <f t="shared" si="1"/>
        <v>13</v>
      </c>
      <c r="B16" s="23" t="str">
        <f>'Inventario Modelo Lógico (corre'!B15</f>
        <v>usuario_ofertalaboral</v>
      </c>
      <c r="C16" s="24"/>
      <c r="D16" s="24"/>
      <c r="E16" s="25"/>
      <c r="F16" s="28" t="str">
        <f>'Inventario Modelo Lógico (corre'!C15</f>
        <v>Registro de la postulación de un usuario a una oferta laboral publicada en la comunidad.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5"/>
      <c r="X16" s="26" t="s">
        <v>43</v>
      </c>
      <c r="Y16" s="25"/>
    </row>
    <row r="17" ht="30.0" customHeight="1">
      <c r="A17" s="5">
        <f t="shared" si="1"/>
        <v>14</v>
      </c>
      <c r="B17" s="23" t="str">
        <f>'Inventario Modelo Lógico (corre'!B16</f>
        <v>usuario_grupo</v>
      </c>
      <c r="C17" s="24"/>
      <c r="D17" s="24"/>
      <c r="E17" s="25"/>
      <c r="F17" s="28" t="str">
        <f>'Inventario Modelo Lógico (corre'!C16</f>
        <v>Registro de la membresía o afiliación de un usuario a un grupo de interés específico.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5"/>
      <c r="X17" s="26" t="s">
        <v>46</v>
      </c>
      <c r="Y17" s="25"/>
    </row>
    <row r="18" ht="30.0" customHeight="1">
      <c r="A18" s="5">
        <f t="shared" si="1"/>
        <v>15</v>
      </c>
      <c r="B18" s="23" t="str">
        <f>'Inventario Modelo Lógico (corre'!B17</f>
        <v>perfil</v>
      </c>
      <c r="C18" s="24"/>
      <c r="D18" s="24"/>
      <c r="E18" s="25"/>
      <c r="F18" s="28" t="str">
        <f>'Inventario Modelo Lógico (corre'!C17</f>
        <v>Biografia y otros datos adicionales del usuario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5"/>
      <c r="X18" s="30" t="s">
        <v>49</v>
      </c>
      <c r="Y18" s="25"/>
    </row>
    <row r="19" ht="30.0" customHeight="1">
      <c r="A19" s="5">
        <f t="shared" si="1"/>
        <v>16</v>
      </c>
      <c r="B19" s="23" t="str">
        <f>'Inventario Modelo Lógico (corre'!B18</f>
        <v/>
      </c>
      <c r="C19" s="24"/>
      <c r="D19" s="24"/>
      <c r="E19" s="25"/>
      <c r="F19" s="28" t="str">
        <f>'Inventario Modelo Lógico (corre'!C18</f>
        <v/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5"/>
      <c r="X19" s="23"/>
      <c r="Y19" s="25"/>
    </row>
    <row r="20" ht="30.0" customHeight="1">
      <c r="A20" s="5">
        <f t="shared" si="1"/>
        <v>17</v>
      </c>
      <c r="B20" s="23" t="str">
        <f>'Inventario Modelo Lógico (corre'!B19</f>
        <v/>
      </c>
      <c r="C20" s="24"/>
      <c r="D20" s="24"/>
      <c r="E20" s="25"/>
      <c r="F20" s="28" t="str">
        <f>'Inventario Modelo Lógico (corre'!C19</f>
        <v/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5"/>
      <c r="X20" s="23"/>
      <c r="Y20" s="25"/>
    </row>
    <row r="21" ht="30.0" customHeight="1">
      <c r="A21" s="5">
        <f t="shared" si="1"/>
        <v>18</v>
      </c>
      <c r="B21" s="23" t="str">
        <f>'Inventario Modelo Lógico (corre'!B20</f>
        <v/>
      </c>
      <c r="C21" s="24"/>
      <c r="D21" s="24"/>
      <c r="E21" s="25"/>
      <c r="F21" s="28" t="str">
        <f>'Inventario Modelo Lógico (corre'!C20</f>
        <v/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5"/>
      <c r="X21" s="23"/>
      <c r="Y21" s="25"/>
    </row>
    <row r="22" ht="30.0" customHeight="1">
      <c r="A22" s="5">
        <f t="shared" si="1"/>
        <v>19</v>
      </c>
      <c r="B22" s="23" t="str">
        <f>'Inventario Modelo Lógico (corre'!B21</f>
        <v/>
      </c>
      <c r="C22" s="24"/>
      <c r="D22" s="24"/>
      <c r="E22" s="25"/>
      <c r="F22" s="28" t="str">
        <f>'Inventario Modelo Lógico (corre'!C21</f>
        <v/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5"/>
      <c r="X22" s="23"/>
      <c r="Y22" s="25"/>
    </row>
    <row r="23" ht="30.0" customHeight="1">
      <c r="A23" s="5">
        <f t="shared" si="1"/>
        <v>20</v>
      </c>
      <c r="B23" s="23"/>
      <c r="C23" s="24"/>
      <c r="D23" s="24"/>
      <c r="E23" s="25"/>
      <c r="F23" s="28" t="str">
        <f>'Inventario Modelo Lógico (corre'!C22</f>
        <v/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5"/>
      <c r="X23" s="23"/>
      <c r="Y23" s="25"/>
    </row>
    <row r="24" ht="30.0" customHeight="1">
      <c r="A24" s="5">
        <f t="shared" si="1"/>
        <v>21</v>
      </c>
      <c r="B24" s="23"/>
      <c r="C24" s="24"/>
      <c r="D24" s="24"/>
      <c r="E24" s="25"/>
      <c r="F24" s="28" t="str">
        <f>'Inventario Modelo Lógico (corre'!C23</f>
        <v/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5"/>
      <c r="X24" s="23"/>
      <c r="Y24" s="25"/>
    </row>
    <row r="25" ht="30.0" customHeight="1">
      <c r="A25" s="5">
        <f t="shared" si="1"/>
        <v>22</v>
      </c>
      <c r="B25" s="23"/>
      <c r="C25" s="24"/>
      <c r="D25" s="24"/>
      <c r="E25" s="25"/>
      <c r="F25" s="28" t="str">
        <f>'Inventario Modelo Lógico (corre'!C24</f>
        <v/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5"/>
      <c r="X25" s="23"/>
      <c r="Y25" s="25"/>
    </row>
    <row r="26" ht="30.0" customHeight="1">
      <c r="A26" s="5">
        <f t="shared" si="1"/>
        <v>23</v>
      </c>
      <c r="B26" s="23"/>
      <c r="C26" s="24"/>
      <c r="D26" s="24"/>
      <c r="E26" s="25"/>
      <c r="F26" s="28" t="str">
        <f>'Inventario Modelo Lógico (corre'!C25</f>
        <v/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5"/>
      <c r="X26" s="23"/>
      <c r="Y26" s="25"/>
    </row>
    <row r="27" ht="30.0" customHeight="1">
      <c r="A27" s="5">
        <f t="shared" si="1"/>
        <v>24</v>
      </c>
      <c r="B27" s="23"/>
      <c r="C27" s="24"/>
      <c r="D27" s="24"/>
      <c r="E27" s="25"/>
      <c r="F27" s="28" t="str">
        <f>'Inventario Modelo Lógico (corre'!C26</f>
        <v/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5"/>
      <c r="X27" s="23"/>
      <c r="Y27" s="25"/>
    </row>
    <row r="28" ht="30.0" customHeight="1">
      <c r="A28" s="5">
        <f t="shared" si="1"/>
        <v>25</v>
      </c>
      <c r="B28" s="23"/>
      <c r="C28" s="24"/>
      <c r="D28" s="24"/>
      <c r="E28" s="25"/>
      <c r="F28" s="28" t="str">
        <f>'Inventario Modelo Lógico (corre'!C27</f>
        <v/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5"/>
      <c r="X28" s="23"/>
      <c r="Y28" s="25"/>
    </row>
    <row r="29" ht="35.25" customHeight="1">
      <c r="A29" s="3"/>
      <c r="B29" s="3"/>
      <c r="C29" s="3"/>
      <c r="D29" s="3"/>
      <c r="E29" s="3"/>
      <c r="F29" s="3"/>
      <c r="X29" s="3"/>
      <c r="Y29" s="3"/>
    </row>
    <row r="30" ht="24.75" customHeight="1">
      <c r="A30" s="2" t="s">
        <v>85</v>
      </c>
    </row>
    <row r="31" ht="28.5" customHeight="1"/>
    <row r="32" ht="36.75" customHeight="1">
      <c r="A32" s="31">
        <f>A4</f>
        <v>1</v>
      </c>
      <c r="B32" s="32" t="s">
        <v>2</v>
      </c>
      <c r="C32" s="33" t="str">
        <f>B4</f>
        <v>usuario</v>
      </c>
      <c r="D32" s="24"/>
      <c r="E32" s="24"/>
      <c r="F32" s="25"/>
      <c r="G32" s="32" t="s">
        <v>3</v>
      </c>
      <c r="H32" s="24"/>
      <c r="I32" s="24"/>
      <c r="J32" s="25"/>
      <c r="K32" s="34" t="s">
        <v>6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5"/>
      <c r="X32" s="35" t="s">
        <v>86</v>
      </c>
      <c r="Y32" s="36" t="s">
        <v>87</v>
      </c>
    </row>
    <row r="33" ht="15.75" customHeight="1">
      <c r="A33" s="37" t="s">
        <v>1</v>
      </c>
      <c r="B33" s="35" t="s">
        <v>88</v>
      </c>
      <c r="C33" s="32" t="s">
        <v>89</v>
      </c>
      <c r="D33" s="24"/>
      <c r="E33" s="24"/>
      <c r="F33" s="25"/>
      <c r="G33" s="32" t="s">
        <v>90</v>
      </c>
      <c r="H33" s="24"/>
      <c r="I33" s="24"/>
      <c r="J33" s="25"/>
      <c r="K33" s="32" t="s">
        <v>91</v>
      </c>
      <c r="L33" s="24"/>
      <c r="M33" s="24"/>
      <c r="N33" s="25"/>
      <c r="O33" s="32" t="s">
        <v>92</v>
      </c>
      <c r="P33" s="24"/>
      <c r="Q33" s="25"/>
      <c r="R33" s="32" t="s">
        <v>93</v>
      </c>
      <c r="S33" s="25"/>
      <c r="T33" s="32" t="s">
        <v>94</v>
      </c>
      <c r="U33" s="25"/>
      <c r="V33" s="32" t="s">
        <v>95</v>
      </c>
      <c r="W33" s="25"/>
      <c r="X33" s="32" t="s">
        <v>96</v>
      </c>
      <c r="Y33" s="25"/>
    </row>
    <row r="34" ht="26.25" customHeight="1">
      <c r="A34" s="5">
        <v>1.0</v>
      </c>
      <c r="B34" s="38" t="s">
        <v>97</v>
      </c>
      <c r="C34" s="39" t="s">
        <v>98</v>
      </c>
      <c r="D34" s="40"/>
      <c r="E34" s="40"/>
      <c r="F34" s="41"/>
      <c r="G34" s="42" t="s">
        <v>99</v>
      </c>
      <c r="H34" s="24"/>
      <c r="I34" s="24"/>
      <c r="J34" s="25"/>
      <c r="K34" s="43">
        <v>50.0</v>
      </c>
      <c r="L34" s="24"/>
      <c r="M34" s="24"/>
      <c r="N34" s="25"/>
      <c r="O34" s="44"/>
      <c r="P34" s="24"/>
      <c r="Q34" s="25"/>
      <c r="R34" s="43" t="s">
        <v>100</v>
      </c>
      <c r="S34" s="25"/>
      <c r="T34" s="44"/>
      <c r="U34" s="25"/>
      <c r="V34" s="44"/>
      <c r="W34" s="25"/>
      <c r="X34" s="43" t="s">
        <v>101</v>
      </c>
      <c r="Y34" s="25"/>
    </row>
    <row r="35" ht="26.25" customHeight="1">
      <c r="A35" s="5">
        <v>2.0</v>
      </c>
      <c r="B35" s="38" t="s">
        <v>102</v>
      </c>
      <c r="C35" s="39" t="s">
        <v>103</v>
      </c>
      <c r="D35" s="40"/>
      <c r="E35" s="40"/>
      <c r="F35" s="41"/>
      <c r="G35" s="42" t="s">
        <v>104</v>
      </c>
      <c r="H35" s="24"/>
      <c r="I35" s="24"/>
      <c r="J35" s="25"/>
      <c r="K35" s="43">
        <v>50.0</v>
      </c>
      <c r="L35" s="24"/>
      <c r="M35" s="24"/>
      <c r="N35" s="25"/>
      <c r="O35" s="44"/>
      <c r="P35" s="24"/>
      <c r="Q35" s="25"/>
      <c r="R35" s="44"/>
      <c r="S35" s="25"/>
      <c r="T35" s="44"/>
      <c r="U35" s="25"/>
      <c r="V35" s="44"/>
      <c r="W35" s="25"/>
      <c r="X35" s="44"/>
      <c r="Y35" s="25"/>
    </row>
    <row r="36" ht="26.25" customHeight="1">
      <c r="A36" s="5">
        <v>3.0</v>
      </c>
      <c r="B36" s="38" t="s">
        <v>105</v>
      </c>
      <c r="C36" s="39" t="s">
        <v>106</v>
      </c>
      <c r="D36" s="40"/>
      <c r="E36" s="40"/>
      <c r="F36" s="41"/>
      <c r="G36" s="42" t="s">
        <v>104</v>
      </c>
      <c r="H36" s="24"/>
      <c r="I36" s="24"/>
      <c r="J36" s="25"/>
      <c r="K36" s="43">
        <v>50.0</v>
      </c>
      <c r="L36" s="24"/>
      <c r="M36" s="24"/>
      <c r="N36" s="25"/>
      <c r="O36" s="44"/>
      <c r="P36" s="24"/>
      <c r="Q36" s="25"/>
      <c r="R36" s="44"/>
      <c r="S36" s="25"/>
      <c r="T36" s="44"/>
      <c r="U36" s="25"/>
      <c r="V36" s="44"/>
      <c r="W36" s="25"/>
      <c r="X36" s="44"/>
      <c r="Y36" s="25"/>
    </row>
    <row r="37" ht="26.25" customHeight="1">
      <c r="A37" s="5">
        <v>4.0</v>
      </c>
      <c r="B37" s="38" t="s">
        <v>107</v>
      </c>
      <c r="C37" s="39" t="s">
        <v>108</v>
      </c>
      <c r="D37" s="40"/>
      <c r="E37" s="40"/>
      <c r="F37" s="41"/>
      <c r="G37" s="42" t="s">
        <v>109</v>
      </c>
      <c r="H37" s="24"/>
      <c r="I37" s="24"/>
      <c r="J37" s="25"/>
      <c r="K37" s="43">
        <v>50.0</v>
      </c>
      <c r="L37" s="24"/>
      <c r="M37" s="24"/>
      <c r="N37" s="25"/>
      <c r="O37" s="44"/>
      <c r="P37" s="24"/>
      <c r="Q37" s="25"/>
      <c r="R37" s="44"/>
      <c r="S37" s="25"/>
      <c r="T37" s="44"/>
      <c r="U37" s="25"/>
      <c r="V37" s="44"/>
      <c r="W37" s="25"/>
      <c r="X37" s="44"/>
      <c r="Y37" s="25"/>
    </row>
    <row r="38" ht="26.25" customHeight="1">
      <c r="A38" s="5">
        <v>5.0</v>
      </c>
      <c r="B38" s="38" t="s">
        <v>110</v>
      </c>
      <c r="C38" s="39" t="s">
        <v>111</v>
      </c>
      <c r="D38" s="40"/>
      <c r="E38" s="40"/>
      <c r="F38" s="41"/>
      <c r="G38" s="42" t="s">
        <v>104</v>
      </c>
      <c r="H38" s="24"/>
      <c r="I38" s="24"/>
      <c r="J38" s="25"/>
      <c r="K38" s="43">
        <v>70.0</v>
      </c>
      <c r="L38" s="24"/>
      <c r="M38" s="24"/>
      <c r="N38" s="25"/>
      <c r="O38" s="44"/>
      <c r="P38" s="24"/>
      <c r="Q38" s="25"/>
      <c r="R38" s="44"/>
      <c r="S38" s="25"/>
      <c r="T38" s="44"/>
      <c r="U38" s="25"/>
      <c r="V38" s="43" t="s">
        <v>100</v>
      </c>
      <c r="W38" s="25"/>
      <c r="X38" s="44"/>
      <c r="Y38" s="25"/>
    </row>
    <row r="39" ht="26.25" customHeight="1">
      <c r="A39" s="5">
        <v>6.0</v>
      </c>
      <c r="B39" s="38" t="s">
        <v>112</v>
      </c>
      <c r="C39" s="39" t="s">
        <v>113</v>
      </c>
      <c r="D39" s="40"/>
      <c r="E39" s="40"/>
      <c r="F39" s="41"/>
      <c r="G39" s="42" t="s">
        <v>104</v>
      </c>
      <c r="H39" s="24"/>
      <c r="I39" s="24"/>
      <c r="J39" s="25"/>
      <c r="K39" s="43">
        <v>20.0</v>
      </c>
      <c r="L39" s="24"/>
      <c r="M39" s="24"/>
      <c r="N39" s="25"/>
      <c r="O39" s="44"/>
      <c r="P39" s="24"/>
      <c r="Q39" s="25"/>
      <c r="R39" s="44"/>
      <c r="S39" s="25"/>
      <c r="T39" s="44"/>
      <c r="U39" s="25"/>
      <c r="V39" s="44"/>
      <c r="W39" s="25"/>
      <c r="X39" s="44"/>
      <c r="Y39" s="25"/>
    </row>
    <row r="40" ht="26.25" customHeight="1">
      <c r="A40" s="5">
        <v>7.0</v>
      </c>
      <c r="B40" s="38" t="s">
        <v>114</v>
      </c>
      <c r="C40" s="39" t="s">
        <v>115</v>
      </c>
      <c r="D40" s="40"/>
      <c r="E40" s="40"/>
      <c r="F40" s="41"/>
      <c r="G40" s="42" t="s">
        <v>116</v>
      </c>
      <c r="H40" s="24"/>
      <c r="I40" s="24"/>
      <c r="J40" s="25"/>
      <c r="K40" s="43">
        <v>20.0</v>
      </c>
      <c r="L40" s="24"/>
      <c r="M40" s="24"/>
      <c r="N40" s="25"/>
      <c r="O40" s="44"/>
      <c r="P40" s="24"/>
      <c r="Q40" s="25"/>
      <c r="R40" s="44"/>
      <c r="S40" s="25"/>
      <c r="T40" s="44"/>
      <c r="U40" s="25"/>
      <c r="V40" s="43" t="s">
        <v>100</v>
      </c>
      <c r="W40" s="25"/>
      <c r="X40" s="44"/>
      <c r="Y40" s="25"/>
    </row>
    <row r="41" ht="28.5" customHeight="1">
      <c r="A41" s="5">
        <v>8.0</v>
      </c>
      <c r="B41" s="38" t="s">
        <v>117</v>
      </c>
      <c r="C41" s="39" t="s">
        <v>118</v>
      </c>
      <c r="D41" s="40"/>
      <c r="E41" s="40"/>
      <c r="F41" s="41"/>
      <c r="G41" s="42" t="s">
        <v>67</v>
      </c>
      <c r="H41" s="24"/>
      <c r="I41" s="24"/>
      <c r="J41" s="25"/>
      <c r="K41" s="43">
        <v>50.0</v>
      </c>
      <c r="L41" s="24"/>
      <c r="M41" s="24"/>
      <c r="N41" s="25"/>
      <c r="O41" s="44"/>
      <c r="P41" s="24"/>
      <c r="Q41" s="25"/>
      <c r="R41" s="44"/>
      <c r="S41" s="25"/>
      <c r="T41" s="44"/>
      <c r="U41" s="25"/>
      <c r="V41" s="44"/>
      <c r="W41" s="25"/>
      <c r="X41" s="44"/>
      <c r="Y41" s="25"/>
    </row>
    <row r="42" ht="36.0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ht="37.5" customHeight="1">
      <c r="A43" s="31">
        <f>A5</f>
        <v>2</v>
      </c>
      <c r="B43" s="32" t="s">
        <v>2</v>
      </c>
      <c r="C43" s="46" t="str">
        <f>B5</f>
        <v>publicacion</v>
      </c>
      <c r="D43" s="24"/>
      <c r="E43" s="24"/>
      <c r="F43" s="25"/>
      <c r="G43" s="32" t="s">
        <v>3</v>
      </c>
      <c r="H43" s="24"/>
      <c r="I43" s="24"/>
      <c r="J43" s="25"/>
      <c r="K43" s="47" t="s">
        <v>9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5"/>
      <c r="X43" s="35" t="s">
        <v>86</v>
      </c>
      <c r="Y43" s="36" t="s">
        <v>87</v>
      </c>
    </row>
    <row r="44" ht="15.75" customHeight="1">
      <c r="A44" s="37" t="s">
        <v>1</v>
      </c>
      <c r="B44" s="35" t="s">
        <v>88</v>
      </c>
      <c r="C44" s="32" t="s">
        <v>89</v>
      </c>
      <c r="D44" s="24"/>
      <c r="E44" s="24"/>
      <c r="F44" s="25"/>
      <c r="G44" s="32" t="s">
        <v>90</v>
      </c>
      <c r="H44" s="24"/>
      <c r="I44" s="24"/>
      <c r="J44" s="25"/>
      <c r="K44" s="32" t="s">
        <v>91</v>
      </c>
      <c r="L44" s="24"/>
      <c r="M44" s="24"/>
      <c r="N44" s="25"/>
      <c r="O44" s="32" t="s">
        <v>92</v>
      </c>
      <c r="P44" s="24"/>
      <c r="Q44" s="25"/>
      <c r="R44" s="32" t="s">
        <v>93</v>
      </c>
      <c r="S44" s="25"/>
      <c r="T44" s="32" t="s">
        <v>94</v>
      </c>
      <c r="U44" s="25"/>
      <c r="V44" s="32" t="s">
        <v>95</v>
      </c>
      <c r="W44" s="25"/>
      <c r="X44" s="32" t="s">
        <v>96</v>
      </c>
      <c r="Y44" s="25"/>
    </row>
    <row r="45" ht="26.25" customHeight="1">
      <c r="A45" s="5">
        <v>1.0</v>
      </c>
      <c r="B45" s="38" t="s">
        <v>119</v>
      </c>
      <c r="C45" s="39" t="s">
        <v>120</v>
      </c>
      <c r="D45" s="40"/>
      <c r="E45" s="40"/>
      <c r="F45" s="41"/>
      <c r="G45" s="42" t="s">
        <v>99</v>
      </c>
      <c r="H45" s="24"/>
      <c r="I45" s="24"/>
      <c r="J45" s="25"/>
      <c r="K45" s="43">
        <v>50.0</v>
      </c>
      <c r="L45" s="24"/>
      <c r="M45" s="24"/>
      <c r="N45" s="25"/>
      <c r="O45" s="44"/>
      <c r="P45" s="24"/>
      <c r="Q45" s="25"/>
      <c r="R45" s="43" t="s">
        <v>100</v>
      </c>
      <c r="S45" s="25"/>
      <c r="T45" s="44"/>
      <c r="U45" s="25"/>
      <c r="V45" s="44"/>
      <c r="W45" s="25"/>
      <c r="X45" s="43" t="s">
        <v>121</v>
      </c>
      <c r="Y45" s="25"/>
    </row>
    <row r="46" ht="26.25" customHeight="1">
      <c r="A46" s="5">
        <v>2.0</v>
      </c>
      <c r="B46" s="38" t="s">
        <v>97</v>
      </c>
      <c r="C46" s="39" t="s">
        <v>122</v>
      </c>
      <c r="D46" s="40"/>
      <c r="E46" s="40"/>
      <c r="F46" s="41"/>
      <c r="G46" s="42" t="s">
        <v>123</v>
      </c>
      <c r="H46" s="24"/>
      <c r="I46" s="24"/>
      <c r="J46" s="25"/>
      <c r="K46" s="43">
        <v>50.0</v>
      </c>
      <c r="L46" s="24"/>
      <c r="M46" s="24"/>
      <c r="N46" s="25"/>
      <c r="O46" s="44"/>
      <c r="P46" s="24"/>
      <c r="Q46" s="25"/>
      <c r="R46" s="44"/>
      <c r="S46" s="25"/>
      <c r="T46" s="43" t="s">
        <v>100</v>
      </c>
      <c r="U46" s="25"/>
      <c r="V46" s="44"/>
      <c r="W46" s="25"/>
      <c r="X46" s="44"/>
      <c r="Y46" s="25"/>
    </row>
    <row r="47" ht="26.25" customHeight="1">
      <c r="A47" s="5">
        <v>3.0</v>
      </c>
      <c r="B47" s="38" t="s">
        <v>124</v>
      </c>
      <c r="C47" s="39" t="s">
        <v>125</v>
      </c>
      <c r="D47" s="40"/>
      <c r="E47" s="40"/>
      <c r="F47" s="41"/>
      <c r="G47" s="42" t="s">
        <v>126</v>
      </c>
      <c r="H47" s="24"/>
      <c r="I47" s="24"/>
      <c r="J47" s="25"/>
      <c r="K47" s="43">
        <v>50.0</v>
      </c>
      <c r="L47" s="24"/>
      <c r="M47" s="24"/>
      <c r="N47" s="25"/>
      <c r="O47" s="44"/>
      <c r="P47" s="24"/>
      <c r="Q47" s="25"/>
      <c r="R47" s="44"/>
      <c r="S47" s="25"/>
      <c r="T47" s="44"/>
      <c r="U47" s="25"/>
      <c r="V47" s="44"/>
      <c r="W47" s="25"/>
      <c r="X47" s="43" t="s">
        <v>127</v>
      </c>
      <c r="Y47" s="25"/>
    </row>
    <row r="48" ht="26.25" customHeight="1">
      <c r="A48" s="5">
        <v>4.0</v>
      </c>
      <c r="B48" s="38" t="s">
        <v>128</v>
      </c>
      <c r="C48" s="39" t="s">
        <v>129</v>
      </c>
      <c r="D48" s="40"/>
      <c r="E48" s="40"/>
      <c r="F48" s="41"/>
      <c r="G48" s="42" t="s">
        <v>130</v>
      </c>
      <c r="H48" s="24"/>
      <c r="I48" s="24"/>
      <c r="J48" s="25"/>
      <c r="K48" s="43">
        <v>50.0</v>
      </c>
      <c r="L48" s="24"/>
      <c r="M48" s="24"/>
      <c r="N48" s="25"/>
      <c r="O48" s="44"/>
      <c r="P48" s="24"/>
      <c r="Q48" s="25"/>
      <c r="R48" s="44"/>
      <c r="S48" s="25"/>
      <c r="T48" s="44"/>
      <c r="U48" s="25"/>
      <c r="V48" s="44"/>
      <c r="W48" s="25"/>
      <c r="X48" s="44"/>
      <c r="Y48" s="25"/>
    </row>
    <row r="49" ht="26.25" customHeight="1">
      <c r="A49" s="5">
        <v>5.0</v>
      </c>
      <c r="B49" s="48"/>
      <c r="C49" s="44"/>
      <c r="D49" s="24"/>
      <c r="E49" s="24"/>
      <c r="F49" s="25"/>
      <c r="G49" s="44"/>
      <c r="H49" s="24"/>
      <c r="I49" s="24"/>
      <c r="J49" s="25"/>
      <c r="K49" s="44"/>
      <c r="L49" s="24"/>
      <c r="M49" s="24"/>
      <c r="N49" s="25"/>
      <c r="O49" s="44"/>
      <c r="P49" s="24"/>
      <c r="Q49" s="25"/>
      <c r="R49" s="44"/>
      <c r="S49" s="25"/>
      <c r="T49" s="44"/>
      <c r="U49" s="25"/>
      <c r="V49" s="44"/>
      <c r="W49" s="25"/>
      <c r="X49" s="44"/>
      <c r="Y49" s="25"/>
    </row>
    <row r="50" ht="26.25" customHeight="1">
      <c r="A50" s="48"/>
      <c r="B50" s="48"/>
      <c r="C50" s="44"/>
      <c r="D50" s="24"/>
      <c r="E50" s="24"/>
      <c r="F50" s="25"/>
      <c r="G50" s="44"/>
      <c r="H50" s="24"/>
      <c r="I50" s="24"/>
      <c r="J50" s="25"/>
      <c r="K50" s="44"/>
      <c r="L50" s="24"/>
      <c r="M50" s="24"/>
      <c r="N50" s="25"/>
      <c r="O50" s="44"/>
      <c r="P50" s="24"/>
      <c r="Q50" s="25"/>
      <c r="R50" s="44"/>
      <c r="S50" s="25"/>
      <c r="T50" s="44"/>
      <c r="U50" s="25"/>
      <c r="V50" s="44"/>
      <c r="W50" s="25"/>
      <c r="X50" s="44"/>
      <c r="Y50" s="25"/>
    </row>
    <row r="51" ht="26.25" customHeight="1">
      <c r="A51" s="5" t="s">
        <v>131</v>
      </c>
      <c r="B51" s="48"/>
      <c r="C51" s="44"/>
      <c r="D51" s="24"/>
      <c r="E51" s="24"/>
      <c r="F51" s="25"/>
      <c r="G51" s="44"/>
      <c r="H51" s="24"/>
      <c r="I51" s="24"/>
      <c r="J51" s="25"/>
      <c r="K51" s="44"/>
      <c r="L51" s="24"/>
      <c r="M51" s="24"/>
      <c r="N51" s="25"/>
      <c r="O51" s="44"/>
      <c r="P51" s="24"/>
      <c r="Q51" s="25"/>
      <c r="R51" s="44"/>
      <c r="S51" s="25"/>
      <c r="T51" s="44"/>
      <c r="U51" s="25"/>
      <c r="V51" s="44"/>
      <c r="W51" s="25"/>
      <c r="X51" s="44"/>
      <c r="Y51" s="25"/>
    </row>
    <row r="52" ht="48.0" customHeight="1">
      <c r="A52" s="49"/>
    </row>
    <row r="53" ht="31.5" customHeight="1">
      <c r="A53" s="31">
        <f>A6</f>
        <v>3</v>
      </c>
      <c r="B53" s="32" t="s">
        <v>2</v>
      </c>
      <c r="C53" s="33" t="str">
        <f>B6</f>
        <v>comentario</v>
      </c>
      <c r="D53" s="24"/>
      <c r="E53" s="24"/>
      <c r="F53" s="25"/>
      <c r="G53" s="32" t="s">
        <v>3</v>
      </c>
      <c r="H53" s="24"/>
      <c r="I53" s="24"/>
      <c r="J53" s="25"/>
      <c r="K53" s="47" t="s">
        <v>12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5"/>
      <c r="X53" s="35" t="s">
        <v>86</v>
      </c>
      <c r="Y53" s="36" t="s">
        <v>87</v>
      </c>
    </row>
    <row r="54" ht="18.0" customHeight="1">
      <c r="A54" s="50" t="s">
        <v>1</v>
      </c>
      <c r="B54" s="51" t="s">
        <v>88</v>
      </c>
      <c r="C54" s="52" t="s">
        <v>89</v>
      </c>
      <c r="D54" s="24"/>
      <c r="E54" s="24"/>
      <c r="F54" s="25"/>
      <c r="G54" s="52" t="s">
        <v>90</v>
      </c>
      <c r="H54" s="24"/>
      <c r="I54" s="24"/>
      <c r="J54" s="25"/>
      <c r="K54" s="52" t="s">
        <v>91</v>
      </c>
      <c r="L54" s="24"/>
      <c r="M54" s="24"/>
      <c r="N54" s="25"/>
      <c r="O54" s="52" t="s">
        <v>92</v>
      </c>
      <c r="P54" s="24"/>
      <c r="Q54" s="25"/>
      <c r="R54" s="52" t="s">
        <v>93</v>
      </c>
      <c r="S54" s="25"/>
      <c r="T54" s="52" t="s">
        <v>94</v>
      </c>
      <c r="U54" s="25"/>
      <c r="V54" s="52" t="s">
        <v>95</v>
      </c>
      <c r="W54" s="25"/>
      <c r="X54" s="52" t="s">
        <v>96</v>
      </c>
      <c r="Y54" s="25"/>
    </row>
    <row r="55" ht="26.25" customHeight="1">
      <c r="A55" s="53">
        <v>1.0</v>
      </c>
      <c r="B55" s="54" t="s">
        <v>132</v>
      </c>
      <c r="C55" s="55" t="s">
        <v>133</v>
      </c>
      <c r="D55" s="40"/>
      <c r="E55" s="40"/>
      <c r="F55" s="41"/>
      <c r="G55" s="42" t="s">
        <v>99</v>
      </c>
      <c r="H55" s="24"/>
      <c r="I55" s="24"/>
      <c r="J55" s="25"/>
      <c r="K55" s="56">
        <v>50.0</v>
      </c>
      <c r="L55" s="24"/>
      <c r="M55" s="24"/>
      <c r="N55" s="25"/>
      <c r="O55" s="57"/>
      <c r="P55" s="24"/>
      <c r="Q55" s="25"/>
      <c r="R55" s="56" t="s">
        <v>100</v>
      </c>
      <c r="S55" s="25"/>
      <c r="T55" s="57"/>
      <c r="U55" s="25"/>
      <c r="V55" s="57"/>
      <c r="W55" s="25"/>
      <c r="X55" s="56" t="s">
        <v>134</v>
      </c>
      <c r="Y55" s="25"/>
    </row>
    <row r="56" ht="26.25" customHeight="1">
      <c r="A56" s="53">
        <v>2.0</v>
      </c>
      <c r="B56" s="54" t="s">
        <v>119</v>
      </c>
      <c r="C56" s="55" t="s">
        <v>135</v>
      </c>
      <c r="D56" s="40"/>
      <c r="E56" s="40"/>
      <c r="F56" s="41"/>
      <c r="G56" s="42" t="s">
        <v>123</v>
      </c>
      <c r="H56" s="24"/>
      <c r="I56" s="24"/>
      <c r="J56" s="25"/>
      <c r="K56" s="56">
        <v>50.0</v>
      </c>
      <c r="L56" s="24"/>
      <c r="M56" s="24"/>
      <c r="N56" s="25"/>
      <c r="O56" s="57"/>
      <c r="P56" s="24"/>
      <c r="Q56" s="25"/>
      <c r="R56" s="57"/>
      <c r="S56" s="25"/>
      <c r="T56" s="56" t="s">
        <v>100</v>
      </c>
      <c r="U56" s="25"/>
      <c r="V56" s="57"/>
      <c r="W56" s="25"/>
      <c r="X56" s="57"/>
      <c r="Y56" s="25"/>
    </row>
    <row r="57" ht="26.25" customHeight="1">
      <c r="A57" s="53">
        <v>3.0</v>
      </c>
      <c r="B57" s="54" t="s">
        <v>97</v>
      </c>
      <c r="C57" s="55" t="s">
        <v>136</v>
      </c>
      <c r="D57" s="40"/>
      <c r="E57" s="40"/>
      <c r="F57" s="41"/>
      <c r="G57" s="42" t="s">
        <v>123</v>
      </c>
      <c r="H57" s="24"/>
      <c r="I57" s="24"/>
      <c r="J57" s="25"/>
      <c r="K57" s="56">
        <v>50.0</v>
      </c>
      <c r="L57" s="24"/>
      <c r="M57" s="24"/>
      <c r="N57" s="25"/>
      <c r="O57" s="57"/>
      <c r="P57" s="24"/>
      <c r="Q57" s="25"/>
      <c r="R57" s="57"/>
      <c r="S57" s="25"/>
      <c r="T57" s="56" t="s">
        <v>100</v>
      </c>
      <c r="U57" s="25"/>
      <c r="V57" s="57"/>
      <c r="W57" s="25"/>
      <c r="X57" s="57"/>
      <c r="Y57" s="25"/>
    </row>
    <row r="58" ht="26.25" customHeight="1">
      <c r="A58" s="53">
        <v>4.0</v>
      </c>
      <c r="B58" s="58" t="s">
        <v>137</v>
      </c>
      <c r="C58" s="55" t="s">
        <v>138</v>
      </c>
      <c r="D58" s="40"/>
      <c r="E58" s="40"/>
      <c r="F58" s="41"/>
      <c r="G58" s="42" t="s">
        <v>126</v>
      </c>
      <c r="H58" s="24"/>
      <c r="I58" s="24"/>
      <c r="J58" s="25"/>
      <c r="K58" s="56">
        <v>50.0</v>
      </c>
      <c r="L58" s="24"/>
      <c r="M58" s="24"/>
      <c r="N58" s="25"/>
      <c r="O58" s="57"/>
      <c r="P58" s="24"/>
      <c r="Q58" s="25"/>
      <c r="R58" s="57"/>
      <c r="S58" s="25"/>
      <c r="T58" s="57"/>
      <c r="U58" s="25"/>
      <c r="V58" s="57"/>
      <c r="W58" s="25"/>
      <c r="X58" s="57"/>
      <c r="Y58" s="25"/>
    </row>
    <row r="59" ht="26.25" customHeight="1">
      <c r="A59" s="53">
        <v>5.0</v>
      </c>
      <c r="B59" s="58" t="s">
        <v>128</v>
      </c>
      <c r="C59" s="55" t="s">
        <v>139</v>
      </c>
      <c r="D59" s="40"/>
      <c r="E59" s="40"/>
      <c r="F59" s="41"/>
      <c r="G59" s="42" t="s">
        <v>104</v>
      </c>
      <c r="H59" s="24"/>
      <c r="I59" s="24"/>
      <c r="J59" s="25"/>
      <c r="K59" s="56">
        <v>500.0</v>
      </c>
      <c r="L59" s="24"/>
      <c r="M59" s="24"/>
      <c r="N59" s="25"/>
      <c r="O59" s="57"/>
      <c r="P59" s="24"/>
      <c r="Q59" s="25"/>
      <c r="R59" s="57"/>
      <c r="S59" s="25"/>
      <c r="T59" s="57"/>
      <c r="U59" s="25"/>
      <c r="V59" s="57"/>
      <c r="W59" s="25"/>
      <c r="X59" s="57"/>
      <c r="Y59" s="25"/>
    </row>
    <row r="60" ht="26.25" customHeight="1">
      <c r="A60" s="58"/>
      <c r="B60" s="58"/>
      <c r="C60" s="57"/>
      <c r="D60" s="24"/>
      <c r="E60" s="24"/>
      <c r="F60" s="25"/>
      <c r="G60" s="57"/>
      <c r="H60" s="24"/>
      <c r="I60" s="24"/>
      <c r="J60" s="25"/>
      <c r="K60" s="57"/>
      <c r="L60" s="24"/>
      <c r="M60" s="24"/>
      <c r="N60" s="25"/>
      <c r="O60" s="57"/>
      <c r="P60" s="24"/>
      <c r="Q60" s="25"/>
      <c r="R60" s="57"/>
      <c r="S60" s="25"/>
      <c r="T60" s="57"/>
      <c r="U60" s="25"/>
      <c r="V60" s="57"/>
      <c r="W60" s="25"/>
      <c r="X60" s="57"/>
      <c r="Y60" s="25"/>
    </row>
    <row r="61" ht="26.25" customHeight="1">
      <c r="A61" s="53" t="s">
        <v>131</v>
      </c>
      <c r="B61" s="58"/>
      <c r="C61" s="57"/>
      <c r="D61" s="24"/>
      <c r="E61" s="24"/>
      <c r="F61" s="25"/>
      <c r="G61" s="57"/>
      <c r="H61" s="24"/>
      <c r="I61" s="24"/>
      <c r="J61" s="25"/>
      <c r="K61" s="57"/>
      <c r="L61" s="24"/>
      <c r="M61" s="24"/>
      <c r="N61" s="25"/>
      <c r="O61" s="57"/>
      <c r="P61" s="24"/>
      <c r="Q61" s="25"/>
      <c r="R61" s="57"/>
      <c r="S61" s="25"/>
      <c r="T61" s="57"/>
      <c r="U61" s="25"/>
      <c r="V61" s="57"/>
      <c r="W61" s="25"/>
      <c r="X61" s="57"/>
      <c r="Y61" s="25"/>
    </row>
    <row r="62" ht="26.25" customHeight="1">
      <c r="A62" s="59"/>
    </row>
    <row r="63" ht="33.0" customHeight="1">
      <c r="A63" s="60">
        <f>A7</f>
        <v>4</v>
      </c>
      <c r="B63" s="52" t="s">
        <v>2</v>
      </c>
      <c r="C63" s="61" t="str">
        <f>B7</f>
        <v>reaccion</v>
      </c>
      <c r="D63" s="24"/>
      <c r="E63" s="24"/>
      <c r="F63" s="25"/>
      <c r="G63" s="52" t="s">
        <v>3</v>
      </c>
      <c r="H63" s="24"/>
      <c r="I63" s="24"/>
      <c r="J63" s="25"/>
      <c r="K63" s="62" t="s">
        <v>15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5"/>
      <c r="X63" s="51" t="s">
        <v>86</v>
      </c>
      <c r="Y63" s="63" t="s">
        <v>87</v>
      </c>
    </row>
    <row r="64" ht="20.25" customHeight="1">
      <c r="A64" s="50" t="s">
        <v>1</v>
      </c>
      <c r="B64" s="51" t="s">
        <v>88</v>
      </c>
      <c r="C64" s="52" t="s">
        <v>89</v>
      </c>
      <c r="D64" s="24"/>
      <c r="E64" s="24"/>
      <c r="F64" s="25"/>
      <c r="G64" s="52" t="s">
        <v>90</v>
      </c>
      <c r="H64" s="24"/>
      <c r="I64" s="24"/>
      <c r="J64" s="25"/>
      <c r="K64" s="52" t="s">
        <v>91</v>
      </c>
      <c r="L64" s="24"/>
      <c r="M64" s="24"/>
      <c r="N64" s="25"/>
      <c r="O64" s="52" t="s">
        <v>92</v>
      </c>
      <c r="P64" s="24"/>
      <c r="Q64" s="25"/>
      <c r="R64" s="52" t="s">
        <v>93</v>
      </c>
      <c r="S64" s="25"/>
      <c r="T64" s="52" t="s">
        <v>94</v>
      </c>
      <c r="U64" s="25"/>
      <c r="V64" s="52" t="s">
        <v>95</v>
      </c>
      <c r="W64" s="25"/>
      <c r="X64" s="52" t="s">
        <v>96</v>
      </c>
      <c r="Y64" s="25"/>
    </row>
    <row r="65" ht="26.25" customHeight="1">
      <c r="A65" s="53">
        <v>1.0</v>
      </c>
      <c r="B65" s="54" t="s">
        <v>140</v>
      </c>
      <c r="C65" s="55" t="s">
        <v>141</v>
      </c>
      <c r="D65" s="40"/>
      <c r="E65" s="40"/>
      <c r="F65" s="41"/>
      <c r="G65" s="42" t="s">
        <v>99</v>
      </c>
      <c r="H65" s="24"/>
      <c r="I65" s="24"/>
      <c r="J65" s="25"/>
      <c r="K65" s="56">
        <v>50.0</v>
      </c>
      <c r="L65" s="24"/>
      <c r="M65" s="24"/>
      <c r="N65" s="25"/>
      <c r="O65" s="57"/>
      <c r="P65" s="24"/>
      <c r="Q65" s="25"/>
      <c r="R65" s="56" t="s">
        <v>100</v>
      </c>
      <c r="S65" s="25"/>
      <c r="T65" s="57"/>
      <c r="U65" s="25"/>
      <c r="V65" s="57"/>
      <c r="W65" s="25"/>
      <c r="X65" s="57"/>
      <c r="Y65" s="25"/>
    </row>
    <row r="66" ht="26.25" customHeight="1">
      <c r="A66" s="53">
        <v>2.0</v>
      </c>
      <c r="B66" s="54" t="s">
        <v>119</v>
      </c>
      <c r="C66" s="55" t="s">
        <v>142</v>
      </c>
      <c r="D66" s="40"/>
      <c r="E66" s="40"/>
      <c r="F66" s="41"/>
      <c r="G66" s="42" t="s">
        <v>123</v>
      </c>
      <c r="H66" s="24"/>
      <c r="I66" s="24"/>
      <c r="J66" s="25"/>
      <c r="K66" s="56">
        <v>50.0</v>
      </c>
      <c r="L66" s="24"/>
      <c r="M66" s="24"/>
      <c r="N66" s="25"/>
      <c r="O66" s="57"/>
      <c r="P66" s="24"/>
      <c r="Q66" s="25"/>
      <c r="R66" s="57"/>
      <c r="S66" s="25"/>
      <c r="T66" s="56" t="s">
        <v>100</v>
      </c>
      <c r="U66" s="25"/>
      <c r="V66" s="57"/>
      <c r="W66" s="25"/>
      <c r="X66" s="57"/>
      <c r="Y66" s="25"/>
    </row>
    <row r="67" ht="26.25" customHeight="1">
      <c r="A67" s="53">
        <v>3.0</v>
      </c>
      <c r="B67" s="54" t="s">
        <v>97</v>
      </c>
      <c r="C67" s="55" t="s">
        <v>143</v>
      </c>
      <c r="D67" s="40"/>
      <c r="E67" s="40"/>
      <c r="F67" s="41"/>
      <c r="G67" s="42" t="s">
        <v>123</v>
      </c>
      <c r="H67" s="24"/>
      <c r="I67" s="24"/>
      <c r="J67" s="25"/>
      <c r="K67" s="56">
        <v>50.0</v>
      </c>
      <c r="L67" s="24"/>
      <c r="M67" s="24"/>
      <c r="N67" s="25"/>
      <c r="O67" s="57"/>
      <c r="P67" s="24"/>
      <c r="Q67" s="25"/>
      <c r="R67" s="57"/>
      <c r="S67" s="25"/>
      <c r="T67" s="56" t="s">
        <v>100</v>
      </c>
      <c r="U67" s="25"/>
      <c r="V67" s="57"/>
      <c r="W67" s="25"/>
      <c r="X67" s="57"/>
      <c r="Y67" s="25"/>
    </row>
    <row r="68" ht="26.25" customHeight="1">
      <c r="A68" s="53">
        <v>4.0</v>
      </c>
      <c r="B68" s="58" t="s">
        <v>124</v>
      </c>
      <c r="C68" s="55" t="s">
        <v>144</v>
      </c>
      <c r="D68" s="40"/>
      <c r="E68" s="40"/>
      <c r="F68" s="41"/>
      <c r="G68" s="42" t="s">
        <v>126</v>
      </c>
      <c r="H68" s="24"/>
      <c r="I68" s="24"/>
      <c r="J68" s="25"/>
      <c r="K68" s="56">
        <v>50.0</v>
      </c>
      <c r="L68" s="24"/>
      <c r="M68" s="24"/>
      <c r="N68" s="25"/>
      <c r="O68" s="57"/>
      <c r="P68" s="24"/>
      <c r="Q68" s="25"/>
      <c r="R68" s="57"/>
      <c r="S68" s="25"/>
      <c r="T68" s="57"/>
      <c r="U68" s="25"/>
      <c r="V68" s="57"/>
      <c r="W68" s="25"/>
      <c r="X68" s="57"/>
      <c r="Y68" s="25"/>
    </row>
    <row r="69" ht="26.25" customHeight="1">
      <c r="A69" s="53">
        <v>5.0</v>
      </c>
      <c r="B69" s="58" t="s">
        <v>145</v>
      </c>
      <c r="C69" s="55" t="s">
        <v>146</v>
      </c>
      <c r="D69" s="40"/>
      <c r="E69" s="40"/>
      <c r="F69" s="41"/>
      <c r="G69" s="42" t="s">
        <v>109</v>
      </c>
      <c r="H69" s="24"/>
      <c r="I69" s="24"/>
      <c r="J69" s="25"/>
      <c r="K69" s="56">
        <v>50.0</v>
      </c>
      <c r="L69" s="24"/>
      <c r="M69" s="24"/>
      <c r="N69" s="25"/>
      <c r="O69" s="57"/>
      <c r="P69" s="24"/>
      <c r="Q69" s="25"/>
      <c r="R69" s="57"/>
      <c r="S69" s="25"/>
      <c r="T69" s="57"/>
      <c r="U69" s="25"/>
      <c r="V69" s="57"/>
      <c r="W69" s="25"/>
      <c r="X69" s="57"/>
      <c r="Y69" s="25"/>
    </row>
    <row r="70" ht="26.25" customHeight="1">
      <c r="A70" s="58"/>
      <c r="B70" s="58"/>
      <c r="C70" s="57"/>
      <c r="D70" s="24"/>
      <c r="E70" s="24"/>
      <c r="F70" s="25"/>
      <c r="G70" s="57"/>
      <c r="H70" s="24"/>
      <c r="I70" s="24"/>
      <c r="J70" s="25"/>
      <c r="K70" s="57"/>
      <c r="L70" s="24"/>
      <c r="M70" s="24"/>
      <c r="N70" s="25"/>
      <c r="O70" s="57"/>
      <c r="P70" s="24"/>
      <c r="Q70" s="25"/>
      <c r="R70" s="57"/>
      <c r="S70" s="25"/>
      <c r="T70" s="57"/>
      <c r="U70" s="25"/>
      <c r="V70" s="57"/>
      <c r="W70" s="25"/>
      <c r="X70" s="57"/>
      <c r="Y70" s="25"/>
    </row>
    <row r="71" ht="26.25" customHeight="1">
      <c r="A71" s="53" t="s">
        <v>131</v>
      </c>
      <c r="B71" s="58"/>
      <c r="C71" s="57"/>
      <c r="D71" s="24"/>
      <c r="E71" s="24"/>
      <c r="F71" s="25"/>
      <c r="G71" s="57"/>
      <c r="H71" s="24"/>
      <c r="I71" s="24"/>
      <c r="J71" s="25"/>
      <c r="K71" s="57"/>
      <c r="L71" s="24"/>
      <c r="M71" s="24"/>
      <c r="N71" s="25"/>
      <c r="O71" s="57"/>
      <c r="P71" s="24"/>
      <c r="Q71" s="25"/>
      <c r="R71" s="57"/>
      <c r="S71" s="25"/>
      <c r="T71" s="57"/>
      <c r="U71" s="25"/>
      <c r="V71" s="57"/>
      <c r="W71" s="25"/>
      <c r="X71" s="57"/>
      <c r="Y71" s="25"/>
    </row>
    <row r="72" ht="26.25" customHeight="1">
      <c r="A72" s="59"/>
    </row>
    <row r="73" ht="31.5" customHeight="1">
      <c r="A73" s="60">
        <f>A8</f>
        <v>5</v>
      </c>
      <c r="B73" s="52" t="s">
        <v>2</v>
      </c>
      <c r="C73" s="61" t="str">
        <f>B8</f>
        <v>grupo </v>
      </c>
      <c r="D73" s="24"/>
      <c r="E73" s="24"/>
      <c r="F73" s="25"/>
      <c r="G73" s="52" t="s">
        <v>3</v>
      </c>
      <c r="H73" s="24"/>
      <c r="I73" s="24"/>
      <c r="J73" s="25"/>
      <c r="K73" s="62" t="s">
        <v>147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5"/>
      <c r="X73" s="51" t="s">
        <v>86</v>
      </c>
      <c r="Y73" s="63" t="s">
        <v>87</v>
      </c>
    </row>
    <row r="74" ht="19.5" customHeight="1">
      <c r="A74" s="50" t="s">
        <v>1</v>
      </c>
      <c r="B74" s="51" t="s">
        <v>88</v>
      </c>
      <c r="C74" s="52" t="s">
        <v>89</v>
      </c>
      <c r="D74" s="24"/>
      <c r="E74" s="24"/>
      <c r="F74" s="25"/>
      <c r="G74" s="52" t="s">
        <v>90</v>
      </c>
      <c r="H74" s="24"/>
      <c r="I74" s="24"/>
      <c r="J74" s="25"/>
      <c r="K74" s="52" t="s">
        <v>91</v>
      </c>
      <c r="L74" s="24"/>
      <c r="M74" s="24"/>
      <c r="N74" s="25"/>
      <c r="O74" s="52" t="s">
        <v>92</v>
      </c>
      <c r="P74" s="24"/>
      <c r="Q74" s="25"/>
      <c r="R74" s="52" t="s">
        <v>93</v>
      </c>
      <c r="S74" s="25"/>
      <c r="T74" s="52" t="s">
        <v>94</v>
      </c>
      <c r="U74" s="25"/>
      <c r="V74" s="52" t="s">
        <v>95</v>
      </c>
      <c r="W74" s="25"/>
      <c r="X74" s="52" t="s">
        <v>96</v>
      </c>
      <c r="Y74" s="25"/>
    </row>
    <row r="75" ht="26.25" customHeight="1">
      <c r="A75" s="53">
        <v>1.0</v>
      </c>
      <c r="B75" s="54" t="s">
        <v>148</v>
      </c>
      <c r="C75" s="55" t="s">
        <v>149</v>
      </c>
      <c r="D75" s="40"/>
      <c r="E75" s="40"/>
      <c r="F75" s="41"/>
      <c r="G75" s="42" t="s">
        <v>99</v>
      </c>
      <c r="H75" s="24"/>
      <c r="I75" s="24"/>
      <c r="J75" s="25"/>
      <c r="K75" s="56">
        <v>50.0</v>
      </c>
      <c r="L75" s="24"/>
      <c r="M75" s="24"/>
      <c r="N75" s="25"/>
      <c r="O75" s="57"/>
      <c r="P75" s="24"/>
      <c r="Q75" s="25"/>
      <c r="R75" s="56" t="s">
        <v>100</v>
      </c>
      <c r="S75" s="25"/>
      <c r="T75" s="57"/>
      <c r="U75" s="25"/>
      <c r="V75" s="57"/>
      <c r="W75" s="25"/>
      <c r="X75" s="57"/>
      <c r="Y75" s="25"/>
    </row>
    <row r="76" ht="26.25" customHeight="1">
      <c r="A76" s="53">
        <v>2.0</v>
      </c>
      <c r="B76" s="54" t="s">
        <v>150</v>
      </c>
      <c r="C76" s="55" t="s">
        <v>151</v>
      </c>
      <c r="D76" s="40"/>
      <c r="E76" s="40"/>
      <c r="F76" s="41"/>
      <c r="G76" s="42" t="s">
        <v>123</v>
      </c>
      <c r="H76" s="24"/>
      <c r="I76" s="24"/>
      <c r="J76" s="25"/>
      <c r="K76" s="56">
        <v>50.0</v>
      </c>
      <c r="L76" s="24"/>
      <c r="M76" s="24"/>
      <c r="N76" s="25"/>
      <c r="O76" s="57"/>
      <c r="P76" s="24"/>
      <c r="Q76" s="25"/>
      <c r="R76" s="57"/>
      <c r="S76" s="25"/>
      <c r="T76" s="56" t="s">
        <v>100</v>
      </c>
      <c r="U76" s="25"/>
      <c r="V76" s="57"/>
      <c r="W76" s="25"/>
      <c r="X76" s="57"/>
      <c r="Y76" s="25"/>
    </row>
    <row r="77" ht="26.25" customHeight="1">
      <c r="A77" s="53">
        <v>3.0</v>
      </c>
      <c r="B77" s="54" t="s">
        <v>102</v>
      </c>
      <c r="C77" s="55" t="s">
        <v>152</v>
      </c>
      <c r="D77" s="40"/>
      <c r="E77" s="40"/>
      <c r="F77" s="41"/>
      <c r="G77" s="42" t="s">
        <v>104</v>
      </c>
      <c r="H77" s="24"/>
      <c r="I77" s="24"/>
      <c r="J77" s="25"/>
      <c r="K77" s="56">
        <v>50.0</v>
      </c>
      <c r="L77" s="24"/>
      <c r="M77" s="24"/>
      <c r="N77" s="25"/>
      <c r="O77" s="57"/>
      <c r="P77" s="24"/>
      <c r="Q77" s="25"/>
      <c r="R77" s="57"/>
      <c r="S77" s="25"/>
      <c r="T77" s="57"/>
      <c r="U77" s="25"/>
      <c r="V77" s="57"/>
      <c r="W77" s="25"/>
      <c r="X77" s="57"/>
      <c r="Y77" s="25"/>
    </row>
    <row r="78" ht="26.25" customHeight="1">
      <c r="A78" s="53">
        <v>4.0</v>
      </c>
      <c r="B78" s="54" t="s">
        <v>153</v>
      </c>
      <c r="C78" s="55" t="s">
        <v>154</v>
      </c>
      <c r="D78" s="40"/>
      <c r="E78" s="40"/>
      <c r="F78" s="41"/>
      <c r="G78" s="42" t="s">
        <v>130</v>
      </c>
      <c r="H78" s="24"/>
      <c r="I78" s="24"/>
      <c r="J78" s="25"/>
      <c r="K78" s="56">
        <v>500.0</v>
      </c>
      <c r="L78" s="24"/>
      <c r="M78" s="24"/>
      <c r="N78" s="25"/>
      <c r="O78" s="57"/>
      <c r="P78" s="24"/>
      <c r="Q78" s="25"/>
      <c r="R78" s="57"/>
      <c r="S78" s="25"/>
      <c r="T78" s="57"/>
      <c r="U78" s="25"/>
      <c r="V78" s="57"/>
      <c r="W78" s="25"/>
      <c r="X78" s="57"/>
      <c r="Y78" s="25"/>
    </row>
    <row r="79" ht="26.25" customHeight="1">
      <c r="A79" s="53">
        <v>5.0</v>
      </c>
      <c r="B79" s="58" t="s">
        <v>155</v>
      </c>
      <c r="C79" s="55" t="s">
        <v>156</v>
      </c>
      <c r="D79" s="40"/>
      <c r="E79" s="40"/>
      <c r="F79" s="41"/>
      <c r="G79" s="42" t="s">
        <v>109</v>
      </c>
      <c r="H79" s="24"/>
      <c r="I79" s="24"/>
      <c r="J79" s="25"/>
      <c r="K79" s="56">
        <v>50.0</v>
      </c>
      <c r="L79" s="24"/>
      <c r="M79" s="24"/>
      <c r="N79" s="25"/>
      <c r="O79" s="57"/>
      <c r="P79" s="24"/>
      <c r="Q79" s="25"/>
      <c r="R79" s="57"/>
      <c r="S79" s="25"/>
      <c r="T79" s="57"/>
      <c r="U79" s="25"/>
      <c r="V79" s="57"/>
      <c r="W79" s="25"/>
      <c r="X79" s="57"/>
      <c r="Y79" s="25"/>
    </row>
    <row r="80" ht="26.25" customHeight="1">
      <c r="A80" s="53">
        <v>6.0</v>
      </c>
      <c r="B80" s="58" t="s">
        <v>157</v>
      </c>
      <c r="C80" s="55" t="s">
        <v>158</v>
      </c>
      <c r="D80" s="40"/>
      <c r="E80" s="40"/>
      <c r="F80" s="41"/>
      <c r="G80" s="42" t="s">
        <v>67</v>
      </c>
      <c r="H80" s="24"/>
      <c r="I80" s="24"/>
      <c r="J80" s="25"/>
      <c r="K80" s="56">
        <v>50.0</v>
      </c>
      <c r="L80" s="24"/>
      <c r="M80" s="24"/>
      <c r="N80" s="25"/>
      <c r="O80" s="57"/>
      <c r="P80" s="24"/>
      <c r="Q80" s="25"/>
      <c r="R80" s="57"/>
      <c r="S80" s="25"/>
      <c r="T80" s="57"/>
      <c r="U80" s="25"/>
      <c r="V80" s="57"/>
      <c r="W80" s="25"/>
      <c r="X80" s="57"/>
      <c r="Y80" s="25"/>
    </row>
    <row r="81" ht="26.25" customHeight="1">
      <c r="A81" s="53" t="s">
        <v>131</v>
      </c>
      <c r="B81" s="58"/>
      <c r="C81" s="57"/>
      <c r="D81" s="24"/>
      <c r="E81" s="24"/>
      <c r="F81" s="25"/>
      <c r="G81" s="57"/>
      <c r="H81" s="24"/>
      <c r="I81" s="24"/>
      <c r="J81" s="25"/>
      <c r="K81" s="57"/>
      <c r="L81" s="24"/>
      <c r="M81" s="24"/>
      <c r="N81" s="25"/>
      <c r="O81" s="57"/>
      <c r="P81" s="24"/>
      <c r="Q81" s="25"/>
      <c r="R81" s="57"/>
      <c r="S81" s="25"/>
      <c r="T81" s="57"/>
      <c r="U81" s="25"/>
      <c r="V81" s="57"/>
      <c r="W81" s="25"/>
      <c r="X81" s="57"/>
      <c r="Y81" s="25"/>
    </row>
    <row r="82" ht="26.25" customHeight="1">
      <c r="A82" s="59"/>
    </row>
    <row r="83">
      <c r="A83" s="60">
        <f>A9</f>
        <v>6</v>
      </c>
      <c r="B83" s="52" t="s">
        <v>2</v>
      </c>
      <c r="C83" s="61" t="str">
        <f>B9</f>
        <v>evento</v>
      </c>
      <c r="D83" s="24"/>
      <c r="E83" s="24"/>
      <c r="F83" s="25"/>
      <c r="G83" s="52" t="s">
        <v>3</v>
      </c>
      <c r="H83" s="24"/>
      <c r="I83" s="24"/>
      <c r="J83" s="25"/>
      <c r="K83" s="62" t="s">
        <v>21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5"/>
      <c r="X83" s="51" t="s">
        <v>86</v>
      </c>
      <c r="Y83" s="63" t="s">
        <v>87</v>
      </c>
    </row>
    <row r="84" ht="20.25" customHeight="1">
      <c r="A84" s="50" t="s">
        <v>1</v>
      </c>
      <c r="B84" s="51" t="s">
        <v>88</v>
      </c>
      <c r="C84" s="52" t="s">
        <v>89</v>
      </c>
      <c r="D84" s="24"/>
      <c r="E84" s="24"/>
      <c r="F84" s="25"/>
      <c r="G84" s="52" t="s">
        <v>90</v>
      </c>
      <c r="H84" s="24"/>
      <c r="I84" s="24"/>
      <c r="J84" s="25"/>
      <c r="K84" s="52" t="s">
        <v>91</v>
      </c>
      <c r="L84" s="24"/>
      <c r="M84" s="24"/>
      <c r="N84" s="25"/>
      <c r="O84" s="52" t="s">
        <v>92</v>
      </c>
      <c r="P84" s="24"/>
      <c r="Q84" s="25"/>
      <c r="R84" s="52" t="s">
        <v>93</v>
      </c>
      <c r="S84" s="25"/>
      <c r="T84" s="52" t="s">
        <v>94</v>
      </c>
      <c r="U84" s="25"/>
      <c r="V84" s="52" t="s">
        <v>95</v>
      </c>
      <c r="W84" s="25"/>
      <c r="X84" s="52" t="s">
        <v>96</v>
      </c>
      <c r="Y84" s="25"/>
    </row>
    <row r="85" ht="26.25" customHeight="1">
      <c r="A85" s="53">
        <v>1.0</v>
      </c>
      <c r="B85" s="54" t="s">
        <v>159</v>
      </c>
      <c r="C85" s="55" t="s">
        <v>160</v>
      </c>
      <c r="D85" s="40"/>
      <c r="E85" s="40"/>
      <c r="F85" s="41"/>
      <c r="G85" s="42" t="s">
        <v>99</v>
      </c>
      <c r="H85" s="24"/>
      <c r="I85" s="24"/>
      <c r="J85" s="25"/>
      <c r="K85" s="56">
        <v>50.0</v>
      </c>
      <c r="L85" s="24"/>
      <c r="M85" s="24"/>
      <c r="N85" s="25"/>
      <c r="O85" s="57"/>
      <c r="P85" s="24"/>
      <c r="Q85" s="25"/>
      <c r="R85" s="56" t="s">
        <v>100</v>
      </c>
      <c r="S85" s="25"/>
      <c r="T85" s="57"/>
      <c r="U85" s="25"/>
      <c r="V85" s="57"/>
      <c r="W85" s="25"/>
      <c r="X85" s="57"/>
      <c r="Y85" s="25"/>
    </row>
    <row r="86" ht="26.25" customHeight="1">
      <c r="A86" s="53">
        <v>2.0</v>
      </c>
      <c r="B86" s="54" t="s">
        <v>161</v>
      </c>
      <c r="C86" s="55" t="s">
        <v>162</v>
      </c>
      <c r="D86" s="40"/>
      <c r="E86" s="40"/>
      <c r="F86" s="41"/>
      <c r="G86" s="42" t="s">
        <v>123</v>
      </c>
      <c r="H86" s="24"/>
      <c r="I86" s="24"/>
      <c r="J86" s="25"/>
      <c r="K86" s="56">
        <v>50.0</v>
      </c>
      <c r="L86" s="24"/>
      <c r="M86" s="24"/>
      <c r="N86" s="25"/>
      <c r="O86" s="57"/>
      <c r="P86" s="24"/>
      <c r="Q86" s="25"/>
      <c r="R86" s="57"/>
      <c r="S86" s="25"/>
      <c r="T86" s="56" t="s">
        <v>100</v>
      </c>
      <c r="U86" s="25"/>
      <c r="V86" s="57"/>
      <c r="W86" s="25"/>
      <c r="X86" s="57"/>
      <c r="Y86" s="25"/>
    </row>
    <row r="87" ht="26.25" customHeight="1">
      <c r="A87" s="53">
        <v>3.0</v>
      </c>
      <c r="B87" s="54" t="s">
        <v>163</v>
      </c>
      <c r="C87" s="55" t="s">
        <v>164</v>
      </c>
      <c r="D87" s="40"/>
      <c r="E87" s="40"/>
      <c r="F87" s="41"/>
      <c r="G87" s="42" t="s">
        <v>104</v>
      </c>
      <c r="H87" s="24"/>
      <c r="I87" s="24"/>
      <c r="J87" s="25"/>
      <c r="K87" s="56">
        <v>50.0</v>
      </c>
      <c r="L87" s="24"/>
      <c r="M87" s="24"/>
      <c r="N87" s="25"/>
      <c r="O87" s="57"/>
      <c r="P87" s="24"/>
      <c r="Q87" s="25"/>
      <c r="R87" s="57"/>
      <c r="S87" s="25"/>
      <c r="T87" s="57"/>
      <c r="U87" s="25"/>
      <c r="V87" s="57"/>
      <c r="W87" s="25"/>
      <c r="X87" s="57"/>
      <c r="Y87" s="25"/>
    </row>
    <row r="88" ht="26.25" customHeight="1">
      <c r="A88" s="53">
        <v>4.0</v>
      </c>
      <c r="B88" s="58" t="s">
        <v>165</v>
      </c>
      <c r="C88" s="55" t="s">
        <v>166</v>
      </c>
      <c r="D88" s="40"/>
      <c r="E88" s="40"/>
      <c r="F88" s="41"/>
      <c r="G88" s="42" t="s">
        <v>126</v>
      </c>
      <c r="H88" s="24"/>
      <c r="I88" s="24"/>
      <c r="J88" s="25"/>
      <c r="K88" s="56">
        <v>50.0</v>
      </c>
      <c r="L88" s="24"/>
      <c r="M88" s="24"/>
      <c r="N88" s="25"/>
      <c r="O88" s="57"/>
      <c r="P88" s="24"/>
      <c r="Q88" s="25"/>
      <c r="R88" s="57"/>
      <c r="S88" s="25"/>
      <c r="T88" s="57"/>
      <c r="U88" s="25"/>
      <c r="V88" s="57"/>
      <c r="W88" s="25"/>
      <c r="X88" s="57"/>
      <c r="Y88" s="25"/>
    </row>
    <row r="89" ht="26.25" customHeight="1">
      <c r="A89" s="53">
        <v>5.0</v>
      </c>
      <c r="B89" s="58" t="s">
        <v>167</v>
      </c>
      <c r="C89" s="55" t="s">
        <v>168</v>
      </c>
      <c r="D89" s="40"/>
      <c r="E89" s="40"/>
      <c r="F89" s="41"/>
      <c r="G89" s="42" t="s">
        <v>126</v>
      </c>
      <c r="H89" s="24"/>
      <c r="I89" s="24"/>
      <c r="J89" s="25"/>
      <c r="K89" s="56">
        <v>50.0</v>
      </c>
      <c r="L89" s="24"/>
      <c r="M89" s="24"/>
      <c r="N89" s="25"/>
      <c r="O89" s="57"/>
      <c r="P89" s="24"/>
      <c r="Q89" s="25"/>
      <c r="R89" s="57"/>
      <c r="S89" s="25"/>
      <c r="T89" s="57"/>
      <c r="U89" s="25"/>
      <c r="V89" s="57"/>
      <c r="W89" s="25"/>
      <c r="X89" s="57"/>
      <c r="Y89" s="25"/>
    </row>
    <row r="90" ht="26.25" customHeight="1">
      <c r="A90" s="53">
        <v>6.0</v>
      </c>
      <c r="B90" s="58" t="s">
        <v>169</v>
      </c>
      <c r="C90" s="55" t="s">
        <v>170</v>
      </c>
      <c r="D90" s="40"/>
      <c r="E90" s="40"/>
      <c r="F90" s="41"/>
      <c r="G90" s="42" t="s">
        <v>104</v>
      </c>
      <c r="H90" s="24"/>
      <c r="I90" s="24"/>
      <c r="J90" s="25"/>
      <c r="K90" s="56">
        <v>50.0</v>
      </c>
      <c r="L90" s="24"/>
      <c r="M90" s="24"/>
      <c r="N90" s="25"/>
      <c r="O90" s="57"/>
      <c r="P90" s="24"/>
      <c r="Q90" s="25"/>
      <c r="R90" s="57"/>
      <c r="S90" s="25"/>
      <c r="T90" s="57"/>
      <c r="U90" s="25"/>
      <c r="V90" s="57"/>
      <c r="W90" s="25"/>
      <c r="X90" s="57"/>
      <c r="Y90" s="25"/>
    </row>
    <row r="91" ht="26.25" customHeight="1">
      <c r="A91" s="53">
        <v>7.0</v>
      </c>
      <c r="B91" s="58" t="s">
        <v>171</v>
      </c>
      <c r="C91" s="55" t="s">
        <v>172</v>
      </c>
      <c r="D91" s="40"/>
      <c r="E91" s="40"/>
      <c r="F91" s="41"/>
      <c r="G91" s="42" t="s">
        <v>104</v>
      </c>
      <c r="H91" s="24"/>
      <c r="I91" s="24"/>
      <c r="J91" s="25"/>
      <c r="K91" s="56">
        <v>50.0</v>
      </c>
      <c r="L91" s="24"/>
      <c r="M91" s="24"/>
      <c r="N91" s="25"/>
      <c r="O91" s="57"/>
      <c r="P91" s="24"/>
      <c r="Q91" s="25"/>
      <c r="R91" s="57"/>
      <c r="S91" s="25"/>
      <c r="T91" s="57"/>
      <c r="U91" s="25"/>
      <c r="V91" s="57"/>
      <c r="W91" s="25"/>
      <c r="X91" s="57"/>
      <c r="Y91" s="25"/>
    </row>
    <row r="92" ht="26.25" customHeight="1">
      <c r="A92" s="53">
        <v>8.0</v>
      </c>
      <c r="B92" s="54" t="s">
        <v>153</v>
      </c>
      <c r="C92" s="57" t="s">
        <v>173</v>
      </c>
      <c r="D92" s="24"/>
      <c r="E92" s="24"/>
      <c r="F92" s="25"/>
      <c r="G92" s="42" t="s">
        <v>130</v>
      </c>
      <c r="H92" s="24"/>
      <c r="I92" s="24"/>
      <c r="J92" s="25"/>
      <c r="K92" s="56">
        <v>500.0</v>
      </c>
      <c r="L92" s="24"/>
      <c r="M92" s="24"/>
      <c r="N92" s="25"/>
      <c r="O92" s="57"/>
      <c r="P92" s="24"/>
      <c r="Q92" s="25"/>
      <c r="R92" s="57"/>
      <c r="S92" s="25"/>
      <c r="T92" s="57"/>
      <c r="U92" s="25"/>
      <c r="V92" s="57"/>
      <c r="W92" s="25"/>
      <c r="X92" s="57"/>
      <c r="Y92" s="25"/>
    </row>
    <row r="93" ht="26.25" customHeight="1">
      <c r="A93" s="59"/>
    </row>
    <row r="94" ht="33.75" customHeight="1">
      <c r="A94" s="60">
        <f>A10</f>
        <v>7</v>
      </c>
      <c r="B94" s="52" t="s">
        <v>2</v>
      </c>
      <c r="C94" s="61" t="str">
        <f>B10</f>
        <v>servicio</v>
      </c>
      <c r="D94" s="24"/>
      <c r="E94" s="24"/>
      <c r="F94" s="25"/>
      <c r="G94" s="52" t="s">
        <v>3</v>
      </c>
      <c r="H94" s="24"/>
      <c r="I94" s="24"/>
      <c r="J94" s="25"/>
      <c r="K94" s="62" t="s">
        <v>24</v>
      </c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5"/>
      <c r="X94" s="51" t="s">
        <v>86</v>
      </c>
      <c r="Y94" s="63" t="s">
        <v>87</v>
      </c>
    </row>
    <row r="95" ht="19.5" customHeight="1">
      <c r="A95" s="50" t="s">
        <v>1</v>
      </c>
      <c r="B95" s="51" t="s">
        <v>88</v>
      </c>
      <c r="C95" s="52" t="s">
        <v>89</v>
      </c>
      <c r="D95" s="24"/>
      <c r="E95" s="24"/>
      <c r="F95" s="25"/>
      <c r="G95" s="52" t="s">
        <v>90</v>
      </c>
      <c r="H95" s="24"/>
      <c r="I95" s="24"/>
      <c r="J95" s="25"/>
      <c r="K95" s="52" t="s">
        <v>91</v>
      </c>
      <c r="L95" s="24"/>
      <c r="M95" s="24"/>
      <c r="N95" s="25"/>
      <c r="O95" s="52" t="s">
        <v>92</v>
      </c>
      <c r="P95" s="24"/>
      <c r="Q95" s="25"/>
      <c r="R95" s="52" t="s">
        <v>93</v>
      </c>
      <c r="S95" s="25"/>
      <c r="T95" s="52" t="s">
        <v>94</v>
      </c>
      <c r="U95" s="25"/>
      <c r="V95" s="52" t="s">
        <v>95</v>
      </c>
      <c r="W95" s="25"/>
      <c r="X95" s="52" t="s">
        <v>96</v>
      </c>
      <c r="Y95" s="25"/>
    </row>
    <row r="96" ht="26.25" customHeight="1">
      <c r="A96" s="53">
        <v>1.0</v>
      </c>
      <c r="B96" s="54" t="s">
        <v>174</v>
      </c>
      <c r="C96" s="55" t="s">
        <v>175</v>
      </c>
      <c r="D96" s="40"/>
      <c r="E96" s="40"/>
      <c r="F96" s="41"/>
      <c r="G96" s="42" t="s">
        <v>99</v>
      </c>
      <c r="H96" s="24"/>
      <c r="I96" s="24"/>
      <c r="J96" s="25"/>
      <c r="K96" s="56">
        <v>50.0</v>
      </c>
      <c r="L96" s="24"/>
      <c r="M96" s="24"/>
      <c r="N96" s="25"/>
      <c r="O96" s="57"/>
      <c r="P96" s="24"/>
      <c r="Q96" s="25"/>
      <c r="R96" s="56" t="s">
        <v>100</v>
      </c>
      <c r="S96" s="25"/>
      <c r="T96" s="57"/>
      <c r="U96" s="25"/>
      <c r="V96" s="57"/>
      <c r="W96" s="25"/>
      <c r="X96" s="57"/>
      <c r="Y96" s="25"/>
    </row>
    <row r="97" ht="26.25" customHeight="1">
      <c r="A97" s="53">
        <v>2.0</v>
      </c>
      <c r="B97" s="54" t="s">
        <v>176</v>
      </c>
      <c r="C97" s="55" t="s">
        <v>177</v>
      </c>
      <c r="D97" s="40"/>
      <c r="E97" s="40"/>
      <c r="F97" s="41"/>
      <c r="G97" s="42" t="s">
        <v>123</v>
      </c>
      <c r="H97" s="24"/>
      <c r="I97" s="24"/>
      <c r="J97" s="25"/>
      <c r="K97" s="56">
        <v>50.0</v>
      </c>
      <c r="L97" s="24"/>
      <c r="M97" s="24"/>
      <c r="N97" s="25"/>
      <c r="O97" s="57"/>
      <c r="P97" s="24"/>
      <c r="Q97" s="25"/>
      <c r="R97" s="57"/>
      <c r="S97" s="25"/>
      <c r="T97" s="56" t="s">
        <v>100</v>
      </c>
      <c r="U97" s="25"/>
      <c r="V97" s="57"/>
      <c r="W97" s="25"/>
      <c r="X97" s="57"/>
      <c r="Y97" s="25"/>
    </row>
    <row r="98" ht="26.25" customHeight="1">
      <c r="A98" s="53">
        <v>3.0</v>
      </c>
      <c r="B98" s="54" t="s">
        <v>178</v>
      </c>
      <c r="C98" s="55" t="s">
        <v>179</v>
      </c>
      <c r="D98" s="40"/>
      <c r="E98" s="40"/>
      <c r="F98" s="41"/>
      <c r="G98" s="42" t="s">
        <v>104</v>
      </c>
      <c r="H98" s="24"/>
      <c r="I98" s="24"/>
      <c r="J98" s="25"/>
      <c r="K98" s="56">
        <v>50.0</v>
      </c>
      <c r="L98" s="24"/>
      <c r="M98" s="24"/>
      <c r="N98" s="25"/>
      <c r="O98" s="57"/>
      <c r="P98" s="24"/>
      <c r="Q98" s="25"/>
      <c r="R98" s="57"/>
      <c r="S98" s="25"/>
      <c r="T98" s="57"/>
      <c r="U98" s="25"/>
      <c r="V98" s="57"/>
      <c r="W98" s="25"/>
      <c r="X98" s="57"/>
      <c r="Y98" s="25"/>
    </row>
    <row r="99" ht="26.25" customHeight="1">
      <c r="A99" s="53">
        <v>4.0</v>
      </c>
      <c r="B99" s="58" t="s">
        <v>180</v>
      </c>
      <c r="C99" s="55" t="s">
        <v>181</v>
      </c>
      <c r="D99" s="40"/>
      <c r="E99" s="40"/>
      <c r="F99" s="41"/>
      <c r="G99" s="42" t="s">
        <v>109</v>
      </c>
      <c r="H99" s="24"/>
      <c r="I99" s="24"/>
      <c r="J99" s="25"/>
      <c r="K99" s="56">
        <v>50.0</v>
      </c>
      <c r="L99" s="24"/>
      <c r="M99" s="24"/>
      <c r="N99" s="25"/>
      <c r="O99" s="57"/>
      <c r="P99" s="24"/>
      <c r="Q99" s="25"/>
      <c r="R99" s="57"/>
      <c r="S99" s="25"/>
      <c r="T99" s="57"/>
      <c r="U99" s="25"/>
      <c r="V99" s="57"/>
      <c r="W99" s="25"/>
      <c r="X99" s="57"/>
      <c r="Y99" s="25"/>
    </row>
    <row r="100" ht="26.25" customHeight="1">
      <c r="A100" s="53">
        <v>5.0</v>
      </c>
      <c r="B100" s="58" t="s">
        <v>153</v>
      </c>
      <c r="C100" s="55" t="s">
        <v>182</v>
      </c>
      <c r="D100" s="40"/>
      <c r="E100" s="40"/>
      <c r="F100" s="41"/>
      <c r="G100" s="42" t="s">
        <v>130</v>
      </c>
      <c r="H100" s="24"/>
      <c r="I100" s="24"/>
      <c r="J100" s="25"/>
      <c r="K100" s="56">
        <v>500.0</v>
      </c>
      <c r="L100" s="24"/>
      <c r="M100" s="24"/>
      <c r="N100" s="25"/>
      <c r="O100" s="57"/>
      <c r="P100" s="24"/>
      <c r="Q100" s="25"/>
      <c r="R100" s="57"/>
      <c r="S100" s="25"/>
      <c r="T100" s="57"/>
      <c r="U100" s="25"/>
      <c r="V100" s="57"/>
      <c r="W100" s="25"/>
      <c r="X100" s="57"/>
      <c r="Y100" s="25"/>
    </row>
    <row r="101" ht="26.25" customHeight="1">
      <c r="A101" s="53">
        <v>6.0</v>
      </c>
      <c r="B101" s="58" t="s">
        <v>183</v>
      </c>
      <c r="C101" s="55" t="s">
        <v>184</v>
      </c>
      <c r="D101" s="40"/>
      <c r="E101" s="40"/>
      <c r="F101" s="41"/>
      <c r="G101" s="42" t="s">
        <v>126</v>
      </c>
      <c r="H101" s="24"/>
      <c r="I101" s="24"/>
      <c r="J101" s="25"/>
      <c r="K101" s="56">
        <v>50.0</v>
      </c>
      <c r="L101" s="24"/>
      <c r="M101" s="24"/>
      <c r="N101" s="25"/>
      <c r="O101" s="57"/>
      <c r="P101" s="24"/>
      <c r="Q101" s="25"/>
      <c r="R101" s="57"/>
      <c r="S101" s="25"/>
      <c r="T101" s="57"/>
      <c r="U101" s="25"/>
      <c r="V101" s="57"/>
      <c r="W101" s="25"/>
      <c r="X101" s="57"/>
      <c r="Y101" s="25"/>
    </row>
    <row r="102" ht="26.25" customHeight="1">
      <c r="A102" s="53">
        <v>7.0</v>
      </c>
      <c r="B102" s="58" t="s">
        <v>185</v>
      </c>
      <c r="C102" s="55" t="s">
        <v>186</v>
      </c>
      <c r="D102" s="40"/>
      <c r="E102" s="40"/>
      <c r="F102" s="41"/>
      <c r="G102" s="42" t="s">
        <v>109</v>
      </c>
      <c r="H102" s="24"/>
      <c r="I102" s="24"/>
      <c r="J102" s="25"/>
      <c r="K102" s="56">
        <v>50.0</v>
      </c>
      <c r="L102" s="24"/>
      <c r="M102" s="24"/>
      <c r="N102" s="25"/>
      <c r="O102" s="57"/>
      <c r="P102" s="24"/>
      <c r="Q102" s="25"/>
      <c r="R102" s="57"/>
      <c r="S102" s="25"/>
      <c r="T102" s="57"/>
      <c r="U102" s="25"/>
      <c r="V102" s="57"/>
      <c r="W102" s="25"/>
      <c r="X102" s="57"/>
      <c r="Y102" s="25"/>
    </row>
    <row r="103" ht="26.25" customHeight="1">
      <c r="A103" s="59"/>
    </row>
    <row r="104" ht="33.0" customHeight="1">
      <c r="A104" s="60">
        <v>8.0</v>
      </c>
      <c r="B104" s="52" t="s">
        <v>2</v>
      </c>
      <c r="C104" s="61" t="str">
        <f>B11</f>
        <v>empresa</v>
      </c>
      <c r="D104" s="24"/>
      <c r="E104" s="24"/>
      <c r="F104" s="25"/>
      <c r="G104" s="52" t="s">
        <v>3</v>
      </c>
      <c r="H104" s="24"/>
      <c r="I104" s="24"/>
      <c r="J104" s="25"/>
      <c r="K104" s="62" t="s">
        <v>27</v>
      </c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5"/>
      <c r="X104" s="51" t="s">
        <v>86</v>
      </c>
      <c r="Y104" s="63" t="s">
        <v>87</v>
      </c>
    </row>
    <row r="105" ht="18.75" customHeight="1">
      <c r="A105" s="50" t="s">
        <v>1</v>
      </c>
      <c r="B105" s="51" t="s">
        <v>88</v>
      </c>
      <c r="C105" s="52" t="s">
        <v>89</v>
      </c>
      <c r="D105" s="24"/>
      <c r="E105" s="24"/>
      <c r="F105" s="25"/>
      <c r="G105" s="52" t="s">
        <v>90</v>
      </c>
      <c r="H105" s="24"/>
      <c r="I105" s="24"/>
      <c r="J105" s="25"/>
      <c r="K105" s="52" t="s">
        <v>91</v>
      </c>
      <c r="L105" s="24"/>
      <c r="M105" s="24"/>
      <c r="N105" s="25"/>
      <c r="O105" s="52" t="s">
        <v>92</v>
      </c>
      <c r="P105" s="24"/>
      <c r="Q105" s="25"/>
      <c r="R105" s="52" t="s">
        <v>93</v>
      </c>
      <c r="S105" s="25"/>
      <c r="T105" s="52" t="s">
        <v>94</v>
      </c>
      <c r="U105" s="25"/>
      <c r="V105" s="52" t="s">
        <v>95</v>
      </c>
      <c r="W105" s="25"/>
      <c r="X105" s="52" t="s">
        <v>96</v>
      </c>
      <c r="Y105" s="25"/>
    </row>
    <row r="106" ht="26.25" customHeight="1">
      <c r="A106" s="53">
        <v>1.0</v>
      </c>
      <c r="B106" s="54" t="s">
        <v>187</v>
      </c>
      <c r="C106" s="55" t="s">
        <v>188</v>
      </c>
      <c r="D106" s="40"/>
      <c r="E106" s="40"/>
      <c r="F106" s="41"/>
      <c r="G106" s="42" t="s">
        <v>99</v>
      </c>
      <c r="H106" s="24"/>
      <c r="I106" s="24"/>
      <c r="J106" s="25"/>
      <c r="K106" s="56">
        <v>50.0</v>
      </c>
      <c r="L106" s="24"/>
      <c r="M106" s="24"/>
      <c r="N106" s="25"/>
      <c r="O106" s="57"/>
      <c r="P106" s="24"/>
      <c r="Q106" s="25"/>
      <c r="R106" s="56" t="s">
        <v>100</v>
      </c>
      <c r="S106" s="25"/>
      <c r="T106" s="57"/>
      <c r="U106" s="25"/>
      <c r="V106" s="57"/>
      <c r="W106" s="25"/>
      <c r="X106" s="57"/>
      <c r="Y106" s="25"/>
    </row>
    <row r="107" ht="26.25" customHeight="1">
      <c r="A107" s="53">
        <v>2.0</v>
      </c>
      <c r="B107" s="54" t="s">
        <v>189</v>
      </c>
      <c r="C107" s="55" t="s">
        <v>190</v>
      </c>
      <c r="D107" s="40"/>
      <c r="E107" s="40"/>
      <c r="F107" s="41"/>
      <c r="G107" s="42" t="s">
        <v>104</v>
      </c>
      <c r="H107" s="24"/>
      <c r="I107" s="24"/>
      <c r="J107" s="25"/>
      <c r="K107" s="56">
        <v>50.0</v>
      </c>
      <c r="L107" s="24"/>
      <c r="M107" s="24"/>
      <c r="N107" s="25"/>
      <c r="O107" s="57"/>
      <c r="P107" s="24"/>
      <c r="Q107" s="25"/>
      <c r="R107" s="57"/>
      <c r="S107" s="25"/>
      <c r="T107" s="57"/>
      <c r="U107" s="25"/>
      <c r="V107" s="57"/>
      <c r="W107" s="25"/>
      <c r="X107" s="57"/>
      <c r="Y107" s="25"/>
    </row>
    <row r="108" ht="26.25" customHeight="1">
      <c r="A108" s="53">
        <v>3.0</v>
      </c>
      <c r="B108" s="54" t="s">
        <v>191</v>
      </c>
      <c r="C108" s="55" t="s">
        <v>192</v>
      </c>
      <c r="D108" s="40"/>
      <c r="E108" s="40"/>
      <c r="F108" s="41"/>
      <c r="G108" s="42" t="s">
        <v>104</v>
      </c>
      <c r="H108" s="24"/>
      <c r="I108" s="24"/>
      <c r="J108" s="25"/>
      <c r="K108" s="56">
        <v>50.0</v>
      </c>
      <c r="L108" s="24"/>
      <c r="M108" s="24"/>
      <c r="N108" s="25"/>
      <c r="O108" s="57"/>
      <c r="P108" s="24"/>
      <c r="Q108" s="25"/>
      <c r="R108" s="57"/>
      <c r="S108" s="25"/>
      <c r="T108" s="57"/>
      <c r="U108" s="25"/>
      <c r="V108" s="57"/>
      <c r="W108" s="25"/>
      <c r="X108" s="57"/>
      <c r="Y108" s="25"/>
    </row>
    <row r="109" ht="26.25" customHeight="1">
      <c r="A109" s="53">
        <v>4.0</v>
      </c>
      <c r="B109" s="58" t="s">
        <v>169</v>
      </c>
      <c r="C109" s="55" t="s">
        <v>193</v>
      </c>
      <c r="D109" s="40"/>
      <c r="E109" s="40"/>
      <c r="F109" s="41"/>
      <c r="G109" s="42" t="s">
        <v>104</v>
      </c>
      <c r="H109" s="24"/>
      <c r="I109" s="24"/>
      <c r="J109" s="25"/>
      <c r="K109" s="56">
        <v>50.0</v>
      </c>
      <c r="L109" s="24"/>
      <c r="M109" s="24"/>
      <c r="N109" s="25"/>
      <c r="O109" s="57"/>
      <c r="P109" s="24"/>
      <c r="Q109" s="25"/>
      <c r="R109" s="57"/>
      <c r="S109" s="25"/>
      <c r="T109" s="57"/>
      <c r="U109" s="25"/>
      <c r="V109" s="57"/>
      <c r="W109" s="25"/>
      <c r="X109" s="57"/>
      <c r="Y109" s="25"/>
    </row>
    <row r="110" ht="26.25" customHeight="1">
      <c r="A110" s="53">
        <v>5.0</v>
      </c>
      <c r="B110" s="58" t="s">
        <v>194</v>
      </c>
      <c r="C110" s="57" t="s">
        <v>195</v>
      </c>
      <c r="D110" s="24"/>
      <c r="E110" s="24"/>
      <c r="F110" s="25"/>
      <c r="G110" s="42" t="s">
        <v>116</v>
      </c>
      <c r="H110" s="24"/>
      <c r="I110" s="24"/>
      <c r="J110" s="25"/>
      <c r="K110" s="56">
        <v>20.0</v>
      </c>
      <c r="L110" s="24"/>
      <c r="M110" s="24"/>
      <c r="N110" s="25"/>
      <c r="O110" s="57"/>
      <c r="P110" s="24"/>
      <c r="Q110" s="25"/>
      <c r="R110" s="57"/>
      <c r="S110" s="25"/>
      <c r="T110" s="57"/>
      <c r="U110" s="25"/>
      <c r="V110" s="56" t="s">
        <v>100</v>
      </c>
      <c r="W110" s="25"/>
      <c r="X110" s="57"/>
      <c r="Y110" s="25"/>
    </row>
    <row r="111" ht="26.25" customHeight="1">
      <c r="A111" s="58"/>
      <c r="B111" s="58"/>
      <c r="C111" s="57"/>
      <c r="D111" s="24"/>
      <c r="E111" s="24"/>
      <c r="F111" s="25"/>
      <c r="G111" s="57"/>
      <c r="H111" s="24"/>
      <c r="I111" s="24"/>
      <c r="J111" s="25"/>
      <c r="K111" s="57"/>
      <c r="L111" s="24"/>
      <c r="M111" s="24"/>
      <c r="N111" s="25"/>
      <c r="O111" s="57"/>
      <c r="P111" s="24"/>
      <c r="Q111" s="25"/>
      <c r="R111" s="57"/>
      <c r="S111" s="25"/>
      <c r="T111" s="57"/>
      <c r="U111" s="25"/>
      <c r="V111" s="57"/>
      <c r="W111" s="25"/>
      <c r="X111" s="57"/>
      <c r="Y111" s="25"/>
    </row>
    <row r="112" ht="26.25" customHeight="1">
      <c r="A112" s="53" t="s">
        <v>131</v>
      </c>
      <c r="B112" s="58"/>
      <c r="C112" s="57"/>
      <c r="D112" s="24"/>
      <c r="E112" s="24"/>
      <c r="F112" s="25"/>
      <c r="G112" s="57"/>
      <c r="H112" s="24"/>
      <c r="I112" s="24"/>
      <c r="J112" s="25"/>
      <c r="K112" s="57"/>
      <c r="L112" s="24"/>
      <c r="M112" s="24"/>
      <c r="N112" s="25"/>
      <c r="O112" s="57"/>
      <c r="P112" s="24"/>
      <c r="Q112" s="25"/>
      <c r="R112" s="57"/>
      <c r="S112" s="25"/>
      <c r="T112" s="57"/>
      <c r="U112" s="25"/>
      <c r="V112" s="57"/>
      <c r="W112" s="25"/>
      <c r="X112" s="57"/>
      <c r="Y112" s="25"/>
    </row>
    <row r="113" ht="26.25" customHeight="1">
      <c r="A113" s="59"/>
    </row>
    <row r="114" ht="33.0" customHeight="1">
      <c r="A114" s="60">
        <f>A12</f>
        <v>9</v>
      </c>
      <c r="B114" s="52" t="s">
        <v>2</v>
      </c>
      <c r="C114" s="61" t="str">
        <f>B12</f>
        <v>oferta_laboral</v>
      </c>
      <c r="D114" s="24"/>
      <c r="E114" s="24"/>
      <c r="F114" s="25"/>
      <c r="G114" s="52" t="s">
        <v>3</v>
      </c>
      <c r="H114" s="24"/>
      <c r="I114" s="24"/>
      <c r="J114" s="25"/>
      <c r="K114" s="62" t="s">
        <v>27</v>
      </c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5"/>
      <c r="X114" s="51" t="s">
        <v>86</v>
      </c>
      <c r="Y114" s="63" t="s">
        <v>87</v>
      </c>
    </row>
    <row r="115" ht="20.25" customHeight="1">
      <c r="A115" s="50" t="s">
        <v>1</v>
      </c>
      <c r="B115" s="51" t="s">
        <v>88</v>
      </c>
      <c r="C115" s="52" t="s">
        <v>89</v>
      </c>
      <c r="D115" s="24"/>
      <c r="E115" s="24"/>
      <c r="F115" s="25"/>
      <c r="G115" s="52" t="s">
        <v>90</v>
      </c>
      <c r="H115" s="24"/>
      <c r="I115" s="24"/>
      <c r="J115" s="25"/>
      <c r="K115" s="52" t="s">
        <v>91</v>
      </c>
      <c r="L115" s="24"/>
      <c r="M115" s="24"/>
      <c r="N115" s="25"/>
      <c r="O115" s="52" t="s">
        <v>92</v>
      </c>
      <c r="P115" s="24"/>
      <c r="Q115" s="25"/>
      <c r="R115" s="52" t="s">
        <v>93</v>
      </c>
      <c r="S115" s="25"/>
      <c r="T115" s="52" t="s">
        <v>94</v>
      </c>
      <c r="U115" s="25"/>
      <c r="V115" s="52" t="s">
        <v>95</v>
      </c>
      <c r="W115" s="25"/>
      <c r="X115" s="52" t="s">
        <v>96</v>
      </c>
      <c r="Y115" s="25"/>
    </row>
    <row r="116" ht="26.25" customHeight="1">
      <c r="A116" s="53">
        <v>1.0</v>
      </c>
      <c r="B116" s="54" t="s">
        <v>196</v>
      </c>
      <c r="C116" s="55" t="s">
        <v>197</v>
      </c>
      <c r="D116" s="40"/>
      <c r="E116" s="40"/>
      <c r="F116" s="41"/>
      <c r="G116" s="42" t="s">
        <v>99</v>
      </c>
      <c r="H116" s="24"/>
      <c r="I116" s="24"/>
      <c r="J116" s="25"/>
      <c r="K116" s="56">
        <v>50.0</v>
      </c>
      <c r="L116" s="24"/>
      <c r="M116" s="24"/>
      <c r="N116" s="25"/>
      <c r="O116" s="57"/>
      <c r="P116" s="24"/>
      <c r="Q116" s="25"/>
      <c r="R116" s="56" t="s">
        <v>100</v>
      </c>
      <c r="S116" s="25"/>
      <c r="T116" s="57"/>
      <c r="U116" s="25"/>
      <c r="V116" s="57"/>
      <c r="W116" s="25"/>
      <c r="X116" s="57"/>
      <c r="Y116" s="25"/>
    </row>
    <row r="117" ht="26.25" customHeight="1">
      <c r="A117" s="53">
        <v>2.0</v>
      </c>
      <c r="B117" s="54" t="s">
        <v>187</v>
      </c>
      <c r="C117" s="55" t="s">
        <v>198</v>
      </c>
      <c r="D117" s="40"/>
      <c r="E117" s="40"/>
      <c r="F117" s="41"/>
      <c r="G117" s="42" t="s">
        <v>123</v>
      </c>
      <c r="H117" s="24"/>
      <c r="I117" s="24"/>
      <c r="J117" s="25"/>
      <c r="K117" s="56">
        <v>50.0</v>
      </c>
      <c r="L117" s="24"/>
      <c r="M117" s="24"/>
      <c r="N117" s="25"/>
      <c r="O117" s="57"/>
      <c r="P117" s="24"/>
      <c r="Q117" s="25"/>
      <c r="R117" s="57"/>
      <c r="S117" s="25"/>
      <c r="T117" s="56" t="s">
        <v>100</v>
      </c>
      <c r="U117" s="25"/>
      <c r="V117" s="57"/>
      <c r="W117" s="25"/>
      <c r="X117" s="57"/>
      <c r="Y117" s="25"/>
    </row>
    <row r="118" ht="26.25" customHeight="1">
      <c r="A118" s="64">
        <v>3.0</v>
      </c>
      <c r="B118" s="65" t="s">
        <v>97</v>
      </c>
      <c r="C118" s="66" t="s">
        <v>199</v>
      </c>
      <c r="D118" s="24"/>
      <c r="E118" s="24"/>
      <c r="F118" s="25"/>
      <c r="G118" s="66" t="s">
        <v>123</v>
      </c>
      <c r="H118" s="24"/>
      <c r="I118" s="24"/>
      <c r="J118" s="25"/>
      <c r="K118" s="66">
        <v>50.0</v>
      </c>
      <c r="L118" s="24"/>
      <c r="M118" s="24"/>
      <c r="N118" s="25"/>
      <c r="O118" s="57"/>
      <c r="P118" s="24"/>
      <c r="Q118" s="25"/>
      <c r="R118" s="57"/>
      <c r="S118" s="25"/>
      <c r="T118" s="66" t="s">
        <v>100</v>
      </c>
      <c r="U118" s="25"/>
      <c r="V118" s="57"/>
      <c r="W118" s="25"/>
      <c r="X118" s="57"/>
      <c r="Y118" s="25"/>
    </row>
    <row r="119" ht="26.25" customHeight="1">
      <c r="A119" s="67">
        <v>4.0</v>
      </c>
      <c r="B119" s="54" t="s">
        <v>200</v>
      </c>
      <c r="C119" s="55" t="s">
        <v>201</v>
      </c>
      <c r="D119" s="40"/>
      <c r="E119" s="40"/>
      <c r="F119" s="41"/>
      <c r="G119" s="42" t="s">
        <v>104</v>
      </c>
      <c r="H119" s="24"/>
      <c r="I119" s="24"/>
      <c r="J119" s="25"/>
      <c r="K119" s="56">
        <v>50.0</v>
      </c>
      <c r="L119" s="24"/>
      <c r="M119" s="24"/>
      <c r="N119" s="25"/>
      <c r="O119" s="57"/>
      <c r="P119" s="24"/>
      <c r="Q119" s="25"/>
      <c r="R119" s="57"/>
      <c r="S119" s="25"/>
      <c r="T119" s="57"/>
      <c r="U119" s="25"/>
      <c r="V119" s="57"/>
      <c r="W119" s="25"/>
      <c r="X119" s="57"/>
      <c r="Y119" s="25"/>
    </row>
    <row r="120" ht="26.25" customHeight="1">
      <c r="A120" s="67">
        <v>5.0</v>
      </c>
      <c r="B120" s="58" t="s">
        <v>202</v>
      </c>
      <c r="C120" s="55" t="s">
        <v>203</v>
      </c>
      <c r="D120" s="40"/>
      <c r="E120" s="40"/>
      <c r="F120" s="41"/>
      <c r="G120" s="56" t="s">
        <v>58</v>
      </c>
      <c r="H120" s="24"/>
      <c r="I120" s="24"/>
      <c r="J120" s="25"/>
      <c r="K120" s="56">
        <v>20.0</v>
      </c>
      <c r="L120" s="24"/>
      <c r="M120" s="24"/>
      <c r="N120" s="25"/>
      <c r="O120" s="57"/>
      <c r="P120" s="24"/>
      <c r="Q120" s="25"/>
      <c r="R120" s="57"/>
      <c r="S120" s="25"/>
      <c r="T120" s="57"/>
      <c r="U120" s="25"/>
      <c r="V120" s="57"/>
      <c r="W120" s="25"/>
      <c r="X120" s="57"/>
      <c r="Y120" s="25"/>
    </row>
    <row r="121" ht="26.25" customHeight="1">
      <c r="A121" s="67">
        <v>6.0</v>
      </c>
      <c r="B121" s="58" t="s">
        <v>204</v>
      </c>
      <c r="C121" s="55" t="s">
        <v>205</v>
      </c>
      <c r="D121" s="40"/>
      <c r="E121" s="40"/>
      <c r="F121" s="41"/>
      <c r="G121" s="42" t="s">
        <v>130</v>
      </c>
      <c r="H121" s="24"/>
      <c r="I121" s="24"/>
      <c r="J121" s="25"/>
      <c r="K121" s="56">
        <v>500.0</v>
      </c>
      <c r="L121" s="24"/>
      <c r="M121" s="24"/>
      <c r="N121" s="25"/>
      <c r="O121" s="57"/>
      <c r="P121" s="24"/>
      <c r="Q121" s="25"/>
      <c r="R121" s="57"/>
      <c r="S121" s="25"/>
      <c r="T121" s="57"/>
      <c r="U121" s="25"/>
      <c r="V121" s="57"/>
      <c r="W121" s="25"/>
      <c r="X121" s="57"/>
      <c r="Y121" s="25"/>
    </row>
    <row r="122" ht="26.25" customHeight="1">
      <c r="A122" s="67">
        <v>7.0</v>
      </c>
      <c r="B122" s="58" t="s">
        <v>206</v>
      </c>
      <c r="C122" s="55" t="s">
        <v>207</v>
      </c>
      <c r="D122" s="40"/>
      <c r="E122" s="40"/>
      <c r="F122" s="41"/>
      <c r="G122" s="42" t="s">
        <v>67</v>
      </c>
      <c r="H122" s="24"/>
      <c r="I122" s="24"/>
      <c r="J122" s="25"/>
      <c r="K122" s="56">
        <v>50.0</v>
      </c>
      <c r="L122" s="24"/>
      <c r="M122" s="24"/>
      <c r="N122" s="25"/>
      <c r="O122" s="57"/>
      <c r="P122" s="24"/>
      <c r="Q122" s="25"/>
      <c r="R122" s="57"/>
      <c r="S122" s="25"/>
      <c r="T122" s="57"/>
      <c r="U122" s="25"/>
      <c r="V122" s="57"/>
      <c r="W122" s="25"/>
      <c r="X122" s="57"/>
      <c r="Y122" s="25"/>
    </row>
    <row r="123" ht="26.25" customHeight="1">
      <c r="A123" s="67">
        <v>8.0</v>
      </c>
      <c r="B123" s="58" t="s">
        <v>208</v>
      </c>
      <c r="C123" s="55" t="s">
        <v>209</v>
      </c>
      <c r="D123" s="40"/>
      <c r="E123" s="40"/>
      <c r="F123" s="41"/>
      <c r="G123" s="66" t="s">
        <v>67</v>
      </c>
      <c r="H123" s="24"/>
      <c r="I123" s="24"/>
      <c r="J123" s="25"/>
      <c r="K123" s="56">
        <v>50.0</v>
      </c>
      <c r="L123" s="24"/>
      <c r="M123" s="24"/>
      <c r="N123" s="25"/>
      <c r="O123" s="57"/>
      <c r="P123" s="24"/>
      <c r="Q123" s="25"/>
      <c r="R123" s="57"/>
      <c r="S123" s="25"/>
      <c r="T123" s="57"/>
      <c r="U123" s="25"/>
      <c r="V123" s="57"/>
      <c r="W123" s="25"/>
      <c r="X123" s="57"/>
      <c r="Y123" s="25"/>
    </row>
    <row r="124" ht="26.25" customHeight="1">
      <c r="A124" s="59"/>
    </row>
    <row r="125" ht="35.25" customHeight="1">
      <c r="A125" s="60">
        <f>A13</f>
        <v>10</v>
      </c>
      <c r="B125" s="52" t="s">
        <v>2</v>
      </c>
      <c r="C125" s="61" t="str">
        <f>B13</f>
        <v>seguidores</v>
      </c>
      <c r="D125" s="24"/>
      <c r="E125" s="24"/>
      <c r="F125" s="25"/>
      <c r="G125" s="52" t="s">
        <v>3</v>
      </c>
      <c r="H125" s="24"/>
      <c r="I125" s="24"/>
      <c r="J125" s="25"/>
      <c r="K125" s="62" t="s">
        <v>27</v>
      </c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5"/>
      <c r="X125" s="51" t="s">
        <v>86</v>
      </c>
      <c r="Y125" s="63" t="s">
        <v>87</v>
      </c>
    </row>
    <row r="126" ht="19.5" customHeight="1">
      <c r="A126" s="50" t="s">
        <v>1</v>
      </c>
      <c r="B126" s="51" t="s">
        <v>88</v>
      </c>
      <c r="C126" s="52" t="s">
        <v>89</v>
      </c>
      <c r="D126" s="24"/>
      <c r="E126" s="24"/>
      <c r="F126" s="25"/>
      <c r="G126" s="52" t="s">
        <v>90</v>
      </c>
      <c r="H126" s="24"/>
      <c r="I126" s="24"/>
      <c r="J126" s="25"/>
      <c r="K126" s="52" t="s">
        <v>91</v>
      </c>
      <c r="L126" s="24"/>
      <c r="M126" s="24"/>
      <c r="N126" s="25"/>
      <c r="O126" s="52" t="s">
        <v>92</v>
      </c>
      <c r="P126" s="24"/>
      <c r="Q126" s="25"/>
      <c r="R126" s="52" t="s">
        <v>93</v>
      </c>
      <c r="S126" s="25"/>
      <c r="T126" s="52" t="s">
        <v>94</v>
      </c>
      <c r="U126" s="25"/>
      <c r="V126" s="52" t="s">
        <v>95</v>
      </c>
      <c r="W126" s="25"/>
      <c r="X126" s="52" t="s">
        <v>96</v>
      </c>
      <c r="Y126" s="25"/>
    </row>
    <row r="127" ht="26.25" customHeight="1">
      <c r="A127" s="53">
        <v>1.0</v>
      </c>
      <c r="B127" s="68" t="s">
        <v>210</v>
      </c>
      <c r="C127" s="69" t="s">
        <v>211</v>
      </c>
      <c r="D127" s="40"/>
      <c r="E127" s="40"/>
      <c r="F127" s="41"/>
      <c r="G127" s="42" t="s">
        <v>99</v>
      </c>
      <c r="H127" s="24"/>
      <c r="I127" s="24"/>
      <c r="J127" s="25"/>
      <c r="K127" s="56"/>
      <c r="L127" s="24"/>
      <c r="M127" s="24"/>
      <c r="N127" s="25"/>
      <c r="O127" s="57"/>
      <c r="P127" s="24"/>
      <c r="Q127" s="25"/>
      <c r="R127" s="42" t="s">
        <v>100</v>
      </c>
      <c r="S127" s="25"/>
      <c r="T127" s="57"/>
      <c r="U127" s="25"/>
      <c r="V127" s="57"/>
      <c r="W127" s="25"/>
      <c r="X127" s="57"/>
      <c r="Y127" s="25"/>
    </row>
    <row r="128" ht="26.25" customHeight="1">
      <c r="A128" s="53">
        <v>2.0</v>
      </c>
      <c r="B128" s="68" t="s">
        <v>212</v>
      </c>
      <c r="C128" s="69" t="s">
        <v>213</v>
      </c>
      <c r="D128" s="40"/>
      <c r="E128" s="40"/>
      <c r="F128" s="41"/>
      <c r="G128" s="42" t="s">
        <v>123</v>
      </c>
      <c r="H128" s="24"/>
      <c r="I128" s="24"/>
      <c r="J128" s="25"/>
      <c r="K128" s="56"/>
      <c r="L128" s="24"/>
      <c r="M128" s="24"/>
      <c r="N128" s="25"/>
      <c r="O128" s="57"/>
      <c r="P128" s="24"/>
      <c r="Q128" s="25"/>
      <c r="R128" s="57"/>
      <c r="S128" s="25"/>
      <c r="T128" s="42" t="s">
        <v>100</v>
      </c>
      <c r="U128" s="25"/>
      <c r="V128" s="57"/>
      <c r="W128" s="25"/>
      <c r="X128" s="57"/>
      <c r="Y128" s="25"/>
    </row>
    <row r="129" ht="26.25" customHeight="1">
      <c r="A129" s="53">
        <v>3.0</v>
      </c>
      <c r="B129" s="68" t="s">
        <v>214</v>
      </c>
      <c r="C129" s="69" t="s">
        <v>215</v>
      </c>
      <c r="D129" s="40"/>
      <c r="E129" s="40"/>
      <c r="F129" s="41"/>
      <c r="G129" s="42" t="s">
        <v>123</v>
      </c>
      <c r="H129" s="24"/>
      <c r="I129" s="24"/>
      <c r="J129" s="25"/>
      <c r="K129" s="56"/>
      <c r="L129" s="24"/>
      <c r="M129" s="24"/>
      <c r="N129" s="25"/>
      <c r="O129" s="57"/>
      <c r="P129" s="24"/>
      <c r="Q129" s="25"/>
      <c r="R129" s="57"/>
      <c r="S129" s="25"/>
      <c r="T129" s="66" t="s">
        <v>100</v>
      </c>
      <c r="U129" s="25"/>
      <c r="V129" s="57"/>
      <c r="W129" s="25"/>
      <c r="X129" s="57"/>
      <c r="Y129" s="25"/>
    </row>
    <row r="130" ht="26.25" customHeight="1">
      <c r="A130" s="53">
        <v>4.0</v>
      </c>
      <c r="B130" s="65" t="s">
        <v>216</v>
      </c>
      <c r="C130" s="69" t="s">
        <v>217</v>
      </c>
      <c r="D130" s="40"/>
      <c r="E130" s="40"/>
      <c r="F130" s="41"/>
      <c r="G130" s="42" t="s">
        <v>126</v>
      </c>
      <c r="H130" s="24"/>
      <c r="I130" s="24"/>
      <c r="J130" s="25"/>
      <c r="K130" s="56"/>
      <c r="L130" s="24"/>
      <c r="M130" s="24"/>
      <c r="N130" s="25"/>
      <c r="O130" s="57"/>
      <c r="P130" s="24"/>
      <c r="Q130" s="25"/>
      <c r="R130" s="57"/>
      <c r="S130" s="25"/>
      <c r="T130" s="57"/>
      <c r="U130" s="25"/>
      <c r="V130" s="57"/>
      <c r="W130" s="25"/>
      <c r="X130" s="57"/>
      <c r="Y130" s="25"/>
    </row>
    <row r="131" ht="26.25" customHeight="1">
      <c r="A131" s="53">
        <v>5.0</v>
      </c>
      <c r="B131" s="58"/>
      <c r="C131" s="55"/>
      <c r="D131" s="40"/>
      <c r="E131" s="40"/>
      <c r="F131" s="41"/>
      <c r="G131" s="56"/>
      <c r="H131" s="24"/>
      <c r="I131" s="24"/>
      <c r="J131" s="25"/>
      <c r="K131" s="56"/>
      <c r="L131" s="24"/>
      <c r="M131" s="24"/>
      <c r="N131" s="25"/>
      <c r="O131" s="57"/>
      <c r="P131" s="24"/>
      <c r="Q131" s="25"/>
      <c r="R131" s="57"/>
      <c r="S131" s="25"/>
      <c r="T131" s="57"/>
      <c r="U131" s="25"/>
      <c r="V131" s="57"/>
      <c r="W131" s="25"/>
      <c r="X131" s="57"/>
      <c r="Y131" s="25"/>
    </row>
    <row r="132" ht="26.25" customHeight="1">
      <c r="A132" s="53">
        <v>6.0</v>
      </c>
      <c r="B132" s="58"/>
      <c r="C132" s="55"/>
      <c r="D132" s="40"/>
      <c r="E132" s="40"/>
      <c r="F132" s="41"/>
      <c r="G132" s="56"/>
      <c r="H132" s="24"/>
      <c r="I132" s="24"/>
      <c r="J132" s="25"/>
      <c r="K132" s="56"/>
      <c r="L132" s="24"/>
      <c r="M132" s="24"/>
      <c r="N132" s="25"/>
      <c r="O132" s="57"/>
      <c r="P132" s="24"/>
      <c r="Q132" s="25"/>
      <c r="R132" s="57"/>
      <c r="S132" s="25"/>
      <c r="T132" s="57"/>
      <c r="U132" s="25"/>
      <c r="V132" s="57"/>
      <c r="W132" s="25"/>
      <c r="X132" s="57"/>
      <c r="Y132" s="25"/>
    </row>
    <row r="133" ht="26.25" customHeight="1">
      <c r="A133" s="53">
        <v>7.0</v>
      </c>
      <c r="B133" s="58"/>
      <c r="C133" s="55"/>
      <c r="D133" s="40"/>
      <c r="E133" s="40"/>
      <c r="F133" s="41"/>
      <c r="G133" s="57"/>
      <c r="H133" s="24"/>
      <c r="I133" s="24"/>
      <c r="J133" s="25"/>
      <c r="K133" s="56"/>
      <c r="L133" s="24"/>
      <c r="M133" s="24"/>
      <c r="N133" s="25"/>
      <c r="O133" s="57"/>
      <c r="P133" s="24"/>
      <c r="Q133" s="25"/>
      <c r="R133" s="57"/>
      <c r="S133" s="25"/>
      <c r="T133" s="57"/>
      <c r="U133" s="25"/>
      <c r="V133" s="57"/>
      <c r="W133" s="25"/>
      <c r="X133" s="57"/>
      <c r="Y133" s="25"/>
    </row>
    <row r="134" ht="26.2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</row>
    <row r="135" ht="32.25" customHeight="1">
      <c r="A135" s="60">
        <f>A14</f>
        <v>11</v>
      </c>
      <c r="B135" s="52" t="s">
        <v>2</v>
      </c>
      <c r="C135" s="61" t="str">
        <f>B14</f>
        <v>usuario_evento</v>
      </c>
      <c r="D135" s="24"/>
      <c r="E135" s="24"/>
      <c r="F135" s="25"/>
      <c r="G135" s="52" t="s">
        <v>3</v>
      </c>
      <c r="H135" s="24"/>
      <c r="I135" s="24"/>
      <c r="J135" s="25"/>
      <c r="K135" s="62" t="s">
        <v>36</v>
      </c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5"/>
      <c r="X135" s="51" t="s">
        <v>86</v>
      </c>
      <c r="Y135" s="63" t="s">
        <v>87</v>
      </c>
    </row>
    <row r="136" ht="20.25" customHeight="1">
      <c r="A136" s="50" t="s">
        <v>1</v>
      </c>
      <c r="B136" s="51" t="s">
        <v>88</v>
      </c>
      <c r="C136" s="52" t="s">
        <v>89</v>
      </c>
      <c r="D136" s="24"/>
      <c r="E136" s="24"/>
      <c r="F136" s="25"/>
      <c r="G136" s="52" t="s">
        <v>90</v>
      </c>
      <c r="H136" s="24"/>
      <c r="I136" s="24"/>
      <c r="J136" s="25"/>
      <c r="K136" s="52" t="s">
        <v>91</v>
      </c>
      <c r="L136" s="24"/>
      <c r="M136" s="24"/>
      <c r="N136" s="25"/>
      <c r="O136" s="52" t="s">
        <v>92</v>
      </c>
      <c r="P136" s="24"/>
      <c r="Q136" s="25"/>
      <c r="R136" s="52" t="s">
        <v>93</v>
      </c>
      <c r="S136" s="25"/>
      <c r="T136" s="52" t="s">
        <v>94</v>
      </c>
      <c r="U136" s="25"/>
      <c r="V136" s="52" t="s">
        <v>95</v>
      </c>
      <c r="W136" s="25"/>
      <c r="X136" s="52" t="s">
        <v>96</v>
      </c>
      <c r="Y136" s="25"/>
    </row>
    <row r="137" ht="26.25" customHeight="1">
      <c r="A137" s="53">
        <v>1.0</v>
      </c>
      <c r="B137" s="54" t="s">
        <v>218</v>
      </c>
      <c r="C137" s="56" t="s">
        <v>219</v>
      </c>
      <c r="D137" s="24"/>
      <c r="E137" s="24"/>
      <c r="F137" s="25"/>
      <c r="G137" s="42" t="s">
        <v>99</v>
      </c>
      <c r="H137" s="24"/>
      <c r="I137" s="24"/>
      <c r="J137" s="25"/>
      <c r="K137" s="56">
        <v>50.0</v>
      </c>
      <c r="L137" s="24"/>
      <c r="M137" s="24"/>
      <c r="N137" s="25"/>
      <c r="O137" s="57"/>
      <c r="P137" s="24"/>
      <c r="Q137" s="25"/>
      <c r="R137" s="57" t="s">
        <v>100</v>
      </c>
      <c r="S137" s="25"/>
      <c r="T137" s="57"/>
      <c r="U137" s="25"/>
      <c r="V137" s="57"/>
      <c r="W137" s="25"/>
      <c r="X137" s="57"/>
      <c r="Y137" s="25"/>
    </row>
    <row r="138" ht="26.25" customHeight="1">
      <c r="A138" s="53">
        <v>2.0</v>
      </c>
      <c r="B138" s="54" t="s">
        <v>97</v>
      </c>
      <c r="C138" s="56" t="s">
        <v>220</v>
      </c>
      <c r="D138" s="24"/>
      <c r="E138" s="24"/>
      <c r="F138" s="25"/>
      <c r="G138" s="42" t="s">
        <v>123</v>
      </c>
      <c r="H138" s="24"/>
      <c r="I138" s="24"/>
      <c r="J138" s="25"/>
      <c r="K138" s="56">
        <v>50.0</v>
      </c>
      <c r="L138" s="24"/>
      <c r="M138" s="24"/>
      <c r="N138" s="25"/>
      <c r="O138" s="57"/>
      <c r="P138" s="24"/>
      <c r="Q138" s="25"/>
      <c r="R138" s="57"/>
      <c r="S138" s="25"/>
      <c r="T138" s="57" t="s">
        <v>100</v>
      </c>
      <c r="U138" s="25"/>
      <c r="V138" s="57"/>
      <c r="W138" s="25"/>
      <c r="X138" s="57"/>
      <c r="Y138" s="25"/>
    </row>
    <row r="139" ht="26.25" customHeight="1">
      <c r="A139" s="53">
        <v>3.0</v>
      </c>
      <c r="B139" s="54" t="s">
        <v>159</v>
      </c>
      <c r="C139" s="56" t="s">
        <v>221</v>
      </c>
      <c r="D139" s="24"/>
      <c r="E139" s="24"/>
      <c r="F139" s="25"/>
      <c r="G139" s="42" t="s">
        <v>123</v>
      </c>
      <c r="H139" s="24"/>
      <c r="I139" s="24"/>
      <c r="J139" s="25"/>
      <c r="K139" s="56">
        <v>50.0</v>
      </c>
      <c r="L139" s="24"/>
      <c r="M139" s="24"/>
      <c r="N139" s="25"/>
      <c r="O139" s="57"/>
      <c r="P139" s="24"/>
      <c r="Q139" s="25"/>
      <c r="R139" s="57"/>
      <c r="S139" s="25"/>
      <c r="T139" s="57" t="s">
        <v>100</v>
      </c>
      <c r="U139" s="25"/>
      <c r="V139" s="57"/>
      <c r="W139" s="25"/>
      <c r="X139" s="57"/>
      <c r="Y139" s="25"/>
    </row>
    <row r="140" ht="26.25" customHeight="1">
      <c r="A140" s="53">
        <v>4.0</v>
      </c>
      <c r="B140" s="58" t="s">
        <v>222</v>
      </c>
      <c r="C140" s="57" t="s">
        <v>223</v>
      </c>
      <c r="D140" s="24"/>
      <c r="E140" s="24"/>
      <c r="F140" s="25"/>
      <c r="G140" s="66" t="s">
        <v>126</v>
      </c>
      <c r="H140" s="24"/>
      <c r="I140" s="24"/>
      <c r="J140" s="25"/>
      <c r="K140" s="56">
        <v>50.0</v>
      </c>
      <c r="L140" s="24"/>
      <c r="M140" s="24"/>
      <c r="N140" s="25"/>
      <c r="O140" s="57"/>
      <c r="P140" s="24"/>
      <c r="Q140" s="25"/>
      <c r="R140" s="57"/>
      <c r="S140" s="25"/>
      <c r="T140" s="57"/>
      <c r="U140" s="25"/>
      <c r="V140" s="57"/>
      <c r="W140" s="25"/>
      <c r="X140" s="57"/>
      <c r="Y140" s="25"/>
    </row>
    <row r="141" ht="26.25" customHeight="1">
      <c r="A141" s="53">
        <v>5.0</v>
      </c>
      <c r="B141" s="58" t="s">
        <v>224</v>
      </c>
      <c r="C141" s="57" t="s">
        <v>225</v>
      </c>
      <c r="D141" s="24"/>
      <c r="E141" s="24"/>
      <c r="F141" s="25"/>
      <c r="G141" s="42" t="s">
        <v>109</v>
      </c>
      <c r="H141" s="24"/>
      <c r="I141" s="24"/>
      <c r="J141" s="25"/>
      <c r="K141" s="56">
        <v>50.0</v>
      </c>
      <c r="L141" s="24"/>
      <c r="M141" s="24"/>
      <c r="N141" s="25"/>
      <c r="O141" s="57"/>
      <c r="P141" s="24"/>
      <c r="Q141" s="25"/>
      <c r="R141" s="57"/>
      <c r="S141" s="25"/>
      <c r="T141" s="57"/>
      <c r="U141" s="25"/>
      <c r="V141" s="57"/>
      <c r="W141" s="25"/>
      <c r="X141" s="57"/>
      <c r="Y141" s="25"/>
    </row>
    <row r="142" ht="26.25" customHeight="1">
      <c r="A142" s="58"/>
      <c r="B142" s="58"/>
      <c r="C142" s="57"/>
      <c r="D142" s="24"/>
      <c r="E142" s="24"/>
      <c r="F142" s="25"/>
      <c r="G142" s="57"/>
      <c r="H142" s="24"/>
      <c r="I142" s="24"/>
      <c r="J142" s="25"/>
      <c r="K142" s="57"/>
      <c r="L142" s="24"/>
      <c r="M142" s="24"/>
      <c r="N142" s="25"/>
      <c r="O142" s="57"/>
      <c r="P142" s="24"/>
      <c r="Q142" s="25"/>
      <c r="R142" s="57"/>
      <c r="S142" s="25"/>
      <c r="T142" s="57"/>
      <c r="U142" s="25"/>
      <c r="V142" s="57"/>
      <c r="W142" s="25"/>
      <c r="X142" s="57"/>
      <c r="Y142" s="25"/>
    </row>
    <row r="143" ht="26.25" customHeight="1">
      <c r="A143" s="53" t="s">
        <v>131</v>
      </c>
      <c r="B143" s="58"/>
      <c r="C143" s="57"/>
      <c r="D143" s="24"/>
      <c r="E143" s="24"/>
      <c r="F143" s="25"/>
      <c r="G143" s="57"/>
      <c r="H143" s="24"/>
      <c r="I143" s="24"/>
      <c r="J143" s="25"/>
      <c r="K143" s="57"/>
      <c r="L143" s="24"/>
      <c r="M143" s="24"/>
      <c r="N143" s="25"/>
      <c r="O143" s="57"/>
      <c r="P143" s="24"/>
      <c r="Q143" s="25"/>
      <c r="R143" s="57"/>
      <c r="S143" s="25"/>
      <c r="T143" s="57"/>
      <c r="U143" s="25"/>
      <c r="V143" s="57"/>
      <c r="W143" s="25"/>
      <c r="X143" s="57"/>
      <c r="Y143" s="25"/>
    </row>
    <row r="144" ht="26.25" customHeight="1">
      <c r="A144" s="59"/>
    </row>
    <row r="145" ht="33.0" customHeight="1">
      <c r="A145" s="60">
        <f>A15</f>
        <v>12</v>
      </c>
      <c r="B145" s="52" t="s">
        <v>2</v>
      </c>
      <c r="C145" s="61" t="str">
        <f>B15</f>
        <v>usuario_servicio</v>
      </c>
      <c r="D145" s="24"/>
      <c r="E145" s="24"/>
      <c r="F145" s="25"/>
      <c r="G145" s="52" t="s">
        <v>3</v>
      </c>
      <c r="H145" s="24"/>
      <c r="I145" s="24"/>
      <c r="J145" s="25"/>
      <c r="K145" s="62" t="s">
        <v>39</v>
      </c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5"/>
      <c r="X145" s="51" t="s">
        <v>86</v>
      </c>
      <c r="Y145" s="63" t="s">
        <v>87</v>
      </c>
    </row>
    <row r="146" ht="18.75" customHeight="1">
      <c r="A146" s="50" t="s">
        <v>1</v>
      </c>
      <c r="B146" s="51" t="s">
        <v>88</v>
      </c>
      <c r="C146" s="52" t="s">
        <v>89</v>
      </c>
      <c r="D146" s="24"/>
      <c r="E146" s="24"/>
      <c r="F146" s="25"/>
      <c r="G146" s="52" t="s">
        <v>90</v>
      </c>
      <c r="H146" s="24"/>
      <c r="I146" s="24"/>
      <c r="J146" s="25"/>
      <c r="K146" s="52" t="s">
        <v>91</v>
      </c>
      <c r="L146" s="24"/>
      <c r="M146" s="24"/>
      <c r="N146" s="25"/>
      <c r="O146" s="52" t="s">
        <v>92</v>
      </c>
      <c r="P146" s="24"/>
      <c r="Q146" s="25"/>
      <c r="R146" s="52" t="s">
        <v>93</v>
      </c>
      <c r="S146" s="25"/>
      <c r="T146" s="52" t="s">
        <v>94</v>
      </c>
      <c r="U146" s="25"/>
      <c r="V146" s="52" t="s">
        <v>95</v>
      </c>
      <c r="W146" s="25"/>
      <c r="X146" s="52" t="s">
        <v>96</v>
      </c>
      <c r="Y146" s="25"/>
    </row>
    <row r="147" ht="26.25" customHeight="1">
      <c r="A147" s="53">
        <v>1.0</v>
      </c>
      <c r="B147" s="54" t="s">
        <v>226</v>
      </c>
      <c r="C147" s="56" t="s">
        <v>227</v>
      </c>
      <c r="D147" s="24"/>
      <c r="E147" s="24"/>
      <c r="F147" s="25"/>
      <c r="G147" s="42" t="s">
        <v>99</v>
      </c>
      <c r="H147" s="24"/>
      <c r="I147" s="24"/>
      <c r="J147" s="25"/>
      <c r="K147" s="56">
        <v>50.0</v>
      </c>
      <c r="L147" s="24"/>
      <c r="M147" s="24"/>
      <c r="N147" s="25"/>
      <c r="O147" s="57"/>
      <c r="P147" s="24"/>
      <c r="Q147" s="25"/>
      <c r="R147" s="57" t="s">
        <v>100</v>
      </c>
      <c r="S147" s="25"/>
      <c r="T147" s="57"/>
      <c r="U147" s="25"/>
      <c r="V147" s="57"/>
      <c r="W147" s="25"/>
      <c r="X147" s="57"/>
      <c r="Y147" s="25"/>
    </row>
    <row r="148" ht="26.25" customHeight="1">
      <c r="A148" s="53">
        <v>2.0</v>
      </c>
      <c r="B148" s="70" t="s">
        <v>176</v>
      </c>
      <c r="C148" s="56" t="s">
        <v>228</v>
      </c>
      <c r="D148" s="24"/>
      <c r="E148" s="24"/>
      <c r="F148" s="25"/>
      <c r="G148" s="42" t="s">
        <v>123</v>
      </c>
      <c r="H148" s="24"/>
      <c r="I148" s="24"/>
      <c r="J148" s="25"/>
      <c r="K148" s="56">
        <v>50.0</v>
      </c>
      <c r="L148" s="24"/>
      <c r="M148" s="24"/>
      <c r="N148" s="25"/>
      <c r="O148" s="57"/>
      <c r="P148" s="24"/>
      <c r="Q148" s="25"/>
      <c r="R148" s="57"/>
      <c r="S148" s="25"/>
      <c r="T148" s="57" t="s">
        <v>100</v>
      </c>
      <c r="U148" s="25"/>
      <c r="V148" s="57"/>
      <c r="W148" s="25"/>
      <c r="X148" s="57"/>
      <c r="Y148" s="25"/>
    </row>
    <row r="149" ht="26.25" customHeight="1">
      <c r="A149" s="53">
        <v>3.0</v>
      </c>
      <c r="B149" s="54" t="s">
        <v>229</v>
      </c>
      <c r="C149" s="56" t="s">
        <v>230</v>
      </c>
      <c r="D149" s="24"/>
      <c r="E149" s="24"/>
      <c r="F149" s="25"/>
      <c r="G149" s="42" t="s">
        <v>123</v>
      </c>
      <c r="H149" s="24"/>
      <c r="I149" s="24"/>
      <c r="J149" s="25"/>
      <c r="K149" s="56">
        <v>50.0</v>
      </c>
      <c r="L149" s="24"/>
      <c r="M149" s="24"/>
      <c r="N149" s="25"/>
      <c r="O149" s="57"/>
      <c r="P149" s="24"/>
      <c r="Q149" s="25"/>
      <c r="R149" s="57"/>
      <c r="S149" s="25"/>
      <c r="T149" s="57" t="s">
        <v>100</v>
      </c>
      <c r="U149" s="25"/>
      <c r="V149" s="57"/>
      <c r="W149" s="25"/>
      <c r="X149" s="57"/>
      <c r="Y149" s="25"/>
    </row>
    <row r="150" ht="26.25" customHeight="1">
      <c r="A150" s="53">
        <v>4.0</v>
      </c>
      <c r="B150" s="58" t="s">
        <v>174</v>
      </c>
      <c r="C150" s="57" t="s">
        <v>231</v>
      </c>
      <c r="D150" s="24"/>
      <c r="E150" s="24"/>
      <c r="F150" s="25"/>
      <c r="G150" s="42" t="s">
        <v>123</v>
      </c>
      <c r="H150" s="24"/>
      <c r="I150" s="24"/>
      <c r="J150" s="25"/>
      <c r="K150" s="56">
        <v>50.0</v>
      </c>
      <c r="L150" s="24"/>
      <c r="M150" s="24"/>
      <c r="N150" s="25"/>
      <c r="O150" s="57"/>
      <c r="P150" s="24"/>
      <c r="Q150" s="25"/>
      <c r="R150" s="57"/>
      <c r="S150" s="25"/>
      <c r="T150" s="57" t="s">
        <v>100</v>
      </c>
      <c r="U150" s="25"/>
      <c r="V150" s="57"/>
      <c r="W150" s="25"/>
      <c r="X150" s="57"/>
      <c r="Y150" s="25"/>
    </row>
    <row r="151" ht="26.25" customHeight="1">
      <c r="A151" s="53">
        <v>5.0</v>
      </c>
      <c r="B151" s="58" t="s">
        <v>232</v>
      </c>
      <c r="C151" s="57" t="s">
        <v>233</v>
      </c>
      <c r="D151" s="24"/>
      <c r="E151" s="24"/>
      <c r="F151" s="25"/>
      <c r="G151" s="66" t="s">
        <v>126</v>
      </c>
      <c r="H151" s="24"/>
      <c r="I151" s="24"/>
      <c r="J151" s="25"/>
      <c r="K151" s="56">
        <v>50.0</v>
      </c>
      <c r="L151" s="24"/>
      <c r="M151" s="24"/>
      <c r="N151" s="25"/>
      <c r="O151" s="57"/>
      <c r="P151" s="24"/>
      <c r="Q151" s="25"/>
      <c r="R151" s="57"/>
      <c r="S151" s="25"/>
      <c r="T151" s="57"/>
      <c r="U151" s="25"/>
      <c r="V151" s="57"/>
      <c r="W151" s="25"/>
      <c r="X151" s="57"/>
      <c r="Y151" s="25"/>
    </row>
    <row r="152" ht="26.25" customHeight="1">
      <c r="A152" s="58"/>
      <c r="B152" s="58"/>
      <c r="C152" s="57"/>
      <c r="D152" s="24"/>
      <c r="E152" s="24"/>
      <c r="F152" s="25"/>
      <c r="G152" s="57"/>
      <c r="H152" s="24"/>
      <c r="I152" s="24"/>
      <c r="J152" s="25"/>
      <c r="K152" s="57"/>
      <c r="L152" s="24"/>
      <c r="M152" s="24"/>
      <c r="N152" s="25"/>
      <c r="O152" s="57"/>
      <c r="P152" s="24"/>
      <c r="Q152" s="25"/>
      <c r="R152" s="57"/>
      <c r="S152" s="25"/>
      <c r="T152" s="57"/>
      <c r="U152" s="25"/>
      <c r="V152" s="57"/>
      <c r="W152" s="25"/>
      <c r="X152" s="57"/>
      <c r="Y152" s="25"/>
    </row>
    <row r="153" ht="26.25" customHeight="1">
      <c r="A153" s="53" t="s">
        <v>131</v>
      </c>
      <c r="B153" s="58"/>
      <c r="C153" s="57"/>
      <c r="D153" s="24"/>
      <c r="E153" s="24"/>
      <c r="F153" s="25"/>
      <c r="G153" s="57"/>
      <c r="H153" s="24"/>
      <c r="I153" s="24"/>
      <c r="J153" s="25"/>
      <c r="K153" s="57"/>
      <c r="L153" s="24"/>
      <c r="M153" s="24"/>
      <c r="N153" s="25"/>
      <c r="O153" s="57"/>
      <c r="P153" s="24"/>
      <c r="Q153" s="25"/>
      <c r="R153" s="57"/>
      <c r="S153" s="25"/>
      <c r="T153" s="57"/>
      <c r="U153" s="25"/>
      <c r="V153" s="57"/>
      <c r="W153" s="25"/>
      <c r="X153" s="57"/>
      <c r="Y153" s="25"/>
    </row>
    <row r="154" ht="26.25" customHeight="1">
      <c r="A154" s="59"/>
    </row>
    <row r="155" ht="35.25" customHeight="1">
      <c r="A155" s="60">
        <f>A16</f>
        <v>13</v>
      </c>
      <c r="B155" s="52" t="s">
        <v>2</v>
      </c>
      <c r="C155" s="61" t="str">
        <f>B16</f>
        <v>usuario_ofertalaboral</v>
      </c>
      <c r="D155" s="24"/>
      <c r="E155" s="24"/>
      <c r="F155" s="25"/>
      <c r="G155" s="52" t="s">
        <v>3</v>
      </c>
      <c r="H155" s="24"/>
      <c r="I155" s="24"/>
      <c r="J155" s="25"/>
      <c r="K155" s="62" t="s">
        <v>42</v>
      </c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5"/>
      <c r="X155" s="51" t="s">
        <v>86</v>
      </c>
      <c r="Y155" s="63" t="s">
        <v>87</v>
      </c>
    </row>
    <row r="156" ht="20.25" customHeight="1">
      <c r="A156" s="50" t="s">
        <v>1</v>
      </c>
      <c r="B156" s="51" t="s">
        <v>88</v>
      </c>
      <c r="C156" s="52" t="s">
        <v>89</v>
      </c>
      <c r="D156" s="24"/>
      <c r="E156" s="24"/>
      <c r="F156" s="25"/>
      <c r="G156" s="52" t="s">
        <v>90</v>
      </c>
      <c r="H156" s="24"/>
      <c r="I156" s="24"/>
      <c r="J156" s="25"/>
      <c r="K156" s="52" t="s">
        <v>91</v>
      </c>
      <c r="L156" s="24"/>
      <c r="M156" s="24"/>
      <c r="N156" s="25"/>
      <c r="O156" s="52" t="s">
        <v>92</v>
      </c>
      <c r="P156" s="24"/>
      <c r="Q156" s="25"/>
      <c r="R156" s="52" t="s">
        <v>93</v>
      </c>
      <c r="S156" s="25"/>
      <c r="T156" s="52" t="s">
        <v>94</v>
      </c>
      <c r="U156" s="25"/>
      <c r="V156" s="52" t="s">
        <v>95</v>
      </c>
      <c r="W156" s="25"/>
      <c r="X156" s="52" t="s">
        <v>96</v>
      </c>
      <c r="Y156" s="25"/>
    </row>
    <row r="157" ht="26.25" customHeight="1">
      <c r="A157" s="53">
        <v>1.0</v>
      </c>
      <c r="B157" s="54" t="s">
        <v>234</v>
      </c>
      <c r="C157" s="56" t="s">
        <v>235</v>
      </c>
      <c r="D157" s="24"/>
      <c r="E157" s="24"/>
      <c r="F157" s="25"/>
      <c r="G157" s="42" t="s">
        <v>99</v>
      </c>
      <c r="H157" s="24"/>
      <c r="I157" s="24"/>
      <c r="J157" s="25"/>
      <c r="K157" s="56">
        <v>50.0</v>
      </c>
      <c r="L157" s="24"/>
      <c r="M157" s="24"/>
      <c r="N157" s="25"/>
      <c r="O157" s="57"/>
      <c r="P157" s="24"/>
      <c r="Q157" s="25"/>
      <c r="R157" s="57" t="s">
        <v>100</v>
      </c>
      <c r="S157" s="25"/>
      <c r="T157" s="57"/>
      <c r="U157" s="25"/>
      <c r="V157" s="57"/>
      <c r="W157" s="25"/>
      <c r="X157" s="57"/>
      <c r="Y157" s="25"/>
    </row>
    <row r="158" ht="26.25" customHeight="1">
      <c r="A158" s="53">
        <v>2.0</v>
      </c>
      <c r="B158" s="54" t="s">
        <v>97</v>
      </c>
      <c r="C158" s="56" t="s">
        <v>199</v>
      </c>
      <c r="D158" s="24"/>
      <c r="E158" s="24"/>
      <c r="F158" s="25"/>
      <c r="G158" s="42" t="s">
        <v>123</v>
      </c>
      <c r="H158" s="24"/>
      <c r="I158" s="24"/>
      <c r="J158" s="25"/>
      <c r="K158" s="56">
        <v>50.0</v>
      </c>
      <c r="L158" s="24"/>
      <c r="M158" s="24"/>
      <c r="N158" s="25"/>
      <c r="O158" s="57"/>
      <c r="P158" s="24"/>
      <c r="Q158" s="25"/>
      <c r="R158" s="57"/>
      <c r="S158" s="25"/>
      <c r="T158" s="57" t="s">
        <v>100</v>
      </c>
      <c r="U158" s="25"/>
      <c r="V158" s="57"/>
      <c r="W158" s="25"/>
      <c r="X158" s="57"/>
      <c r="Y158" s="25"/>
    </row>
    <row r="159" ht="26.25" customHeight="1">
      <c r="A159" s="53">
        <v>3.0</v>
      </c>
      <c r="B159" s="54" t="s">
        <v>196</v>
      </c>
      <c r="C159" s="56" t="s">
        <v>236</v>
      </c>
      <c r="D159" s="24"/>
      <c r="E159" s="24"/>
      <c r="F159" s="25"/>
      <c r="G159" s="42" t="s">
        <v>123</v>
      </c>
      <c r="H159" s="24"/>
      <c r="I159" s="24"/>
      <c r="J159" s="25"/>
      <c r="K159" s="56">
        <v>50.0</v>
      </c>
      <c r="L159" s="24"/>
      <c r="M159" s="24"/>
      <c r="N159" s="25"/>
      <c r="O159" s="57"/>
      <c r="P159" s="24"/>
      <c r="Q159" s="25"/>
      <c r="R159" s="57"/>
      <c r="S159" s="25"/>
      <c r="T159" s="57" t="s">
        <v>100</v>
      </c>
      <c r="U159" s="25"/>
      <c r="V159" s="57"/>
      <c r="W159" s="25"/>
      <c r="X159" s="57"/>
      <c r="Y159" s="25"/>
    </row>
    <row r="160" ht="26.25" customHeight="1">
      <c r="A160" s="53">
        <v>4.0</v>
      </c>
      <c r="B160" s="58" t="s">
        <v>237</v>
      </c>
      <c r="C160" s="57" t="s">
        <v>238</v>
      </c>
      <c r="D160" s="24"/>
      <c r="E160" s="24"/>
      <c r="F160" s="25"/>
      <c r="G160" s="66" t="s">
        <v>126</v>
      </c>
      <c r="H160" s="24"/>
      <c r="I160" s="24"/>
      <c r="J160" s="25"/>
      <c r="K160" s="56">
        <v>50.0</v>
      </c>
      <c r="L160" s="24"/>
      <c r="M160" s="24"/>
      <c r="N160" s="25"/>
      <c r="O160" s="57"/>
      <c r="P160" s="24"/>
      <c r="Q160" s="25"/>
      <c r="R160" s="57"/>
      <c r="S160" s="25"/>
      <c r="T160" s="57"/>
      <c r="U160" s="25"/>
      <c r="V160" s="57"/>
      <c r="W160" s="25"/>
      <c r="X160" s="57"/>
      <c r="Y160" s="25"/>
    </row>
    <row r="161" ht="26.25" customHeight="1">
      <c r="A161" s="53">
        <v>5.0</v>
      </c>
      <c r="B161" s="58" t="s">
        <v>239</v>
      </c>
      <c r="C161" s="57" t="s">
        <v>240</v>
      </c>
      <c r="D161" s="24"/>
      <c r="E161" s="24"/>
      <c r="F161" s="25"/>
      <c r="G161" s="66" t="s">
        <v>109</v>
      </c>
      <c r="H161" s="24"/>
      <c r="I161" s="24"/>
      <c r="J161" s="25"/>
      <c r="K161" s="56">
        <v>50.0</v>
      </c>
      <c r="L161" s="24"/>
      <c r="M161" s="24"/>
      <c r="N161" s="25"/>
      <c r="O161" s="57"/>
      <c r="P161" s="24"/>
      <c r="Q161" s="25"/>
      <c r="R161" s="57"/>
      <c r="S161" s="25"/>
      <c r="T161" s="57"/>
      <c r="U161" s="25"/>
      <c r="V161" s="57"/>
      <c r="W161" s="25"/>
      <c r="X161" s="57"/>
      <c r="Y161" s="25"/>
    </row>
    <row r="162" ht="26.25" customHeight="1">
      <c r="A162" s="58"/>
      <c r="B162" s="58"/>
      <c r="C162" s="57"/>
      <c r="D162" s="24"/>
      <c r="E162" s="24"/>
      <c r="F162" s="25"/>
      <c r="G162" s="57"/>
      <c r="H162" s="24"/>
      <c r="I162" s="24"/>
      <c r="J162" s="25"/>
      <c r="K162" s="57"/>
      <c r="L162" s="24"/>
      <c r="M162" s="24"/>
      <c r="N162" s="25"/>
      <c r="O162" s="57"/>
      <c r="P162" s="24"/>
      <c r="Q162" s="25"/>
      <c r="R162" s="57"/>
      <c r="S162" s="25"/>
      <c r="T162" s="57"/>
      <c r="U162" s="25"/>
      <c r="V162" s="57"/>
      <c r="W162" s="25"/>
      <c r="X162" s="57"/>
      <c r="Y162" s="25"/>
    </row>
    <row r="163" ht="26.25" customHeight="1">
      <c r="A163" s="53" t="s">
        <v>131</v>
      </c>
      <c r="B163" s="58"/>
      <c r="C163" s="57"/>
      <c r="D163" s="24"/>
      <c r="E163" s="24"/>
      <c r="F163" s="25"/>
      <c r="G163" s="57"/>
      <c r="H163" s="24"/>
      <c r="I163" s="24"/>
      <c r="J163" s="25"/>
      <c r="K163" s="57"/>
      <c r="L163" s="24"/>
      <c r="M163" s="24"/>
      <c r="N163" s="25"/>
      <c r="O163" s="57"/>
      <c r="P163" s="24"/>
      <c r="Q163" s="25"/>
      <c r="R163" s="57"/>
      <c r="S163" s="25"/>
      <c r="T163" s="57"/>
      <c r="U163" s="25"/>
      <c r="V163" s="57"/>
      <c r="W163" s="25"/>
      <c r="X163" s="57"/>
      <c r="Y163" s="25"/>
    </row>
    <row r="164" ht="26.25" customHeight="1">
      <c r="A164" s="59"/>
    </row>
    <row r="165" ht="33.75" customHeight="1">
      <c r="A165" s="60">
        <f>A17</f>
        <v>14</v>
      </c>
      <c r="B165" s="52" t="s">
        <v>2</v>
      </c>
      <c r="C165" s="61" t="str">
        <f>B17</f>
        <v>usuario_grupo</v>
      </c>
      <c r="D165" s="24"/>
      <c r="E165" s="24"/>
      <c r="F165" s="25"/>
      <c r="G165" s="52" t="s">
        <v>3</v>
      </c>
      <c r="H165" s="24"/>
      <c r="I165" s="24"/>
      <c r="J165" s="25"/>
      <c r="K165" s="62" t="s">
        <v>45</v>
      </c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5"/>
      <c r="X165" s="51" t="s">
        <v>86</v>
      </c>
      <c r="Y165" s="63" t="s">
        <v>87</v>
      </c>
    </row>
    <row r="166" ht="18.0" customHeight="1">
      <c r="A166" s="50" t="s">
        <v>1</v>
      </c>
      <c r="B166" s="51" t="s">
        <v>88</v>
      </c>
      <c r="C166" s="52" t="s">
        <v>89</v>
      </c>
      <c r="D166" s="24"/>
      <c r="E166" s="24"/>
      <c r="F166" s="25"/>
      <c r="G166" s="52" t="s">
        <v>90</v>
      </c>
      <c r="H166" s="24"/>
      <c r="I166" s="24"/>
      <c r="J166" s="25"/>
      <c r="K166" s="52" t="s">
        <v>91</v>
      </c>
      <c r="L166" s="24"/>
      <c r="M166" s="24"/>
      <c r="N166" s="25"/>
      <c r="O166" s="52" t="s">
        <v>92</v>
      </c>
      <c r="P166" s="24"/>
      <c r="Q166" s="25"/>
      <c r="R166" s="52" t="s">
        <v>93</v>
      </c>
      <c r="S166" s="25"/>
      <c r="T166" s="52" t="s">
        <v>94</v>
      </c>
      <c r="U166" s="25"/>
      <c r="V166" s="52" t="s">
        <v>95</v>
      </c>
      <c r="W166" s="25"/>
      <c r="X166" s="52" t="s">
        <v>96</v>
      </c>
      <c r="Y166" s="25"/>
    </row>
    <row r="167" ht="26.25" customHeight="1">
      <c r="A167" s="53">
        <v>1.0</v>
      </c>
      <c r="B167" s="54" t="s">
        <v>241</v>
      </c>
      <c r="C167" s="56" t="s">
        <v>242</v>
      </c>
      <c r="D167" s="24"/>
      <c r="E167" s="24"/>
      <c r="F167" s="25"/>
      <c r="G167" s="42" t="s">
        <v>99</v>
      </c>
      <c r="H167" s="24"/>
      <c r="I167" s="24"/>
      <c r="J167" s="25"/>
      <c r="K167" s="56">
        <v>50.0</v>
      </c>
      <c r="L167" s="24"/>
      <c r="M167" s="24"/>
      <c r="N167" s="25"/>
      <c r="O167" s="57"/>
      <c r="P167" s="24"/>
      <c r="Q167" s="25"/>
      <c r="R167" s="57" t="s">
        <v>100</v>
      </c>
      <c r="S167" s="25"/>
      <c r="T167" s="57"/>
      <c r="U167" s="25"/>
      <c r="V167" s="57"/>
      <c r="W167" s="25"/>
      <c r="X167" s="57"/>
      <c r="Y167" s="25"/>
    </row>
    <row r="168" ht="26.25" customHeight="1">
      <c r="A168" s="53">
        <v>2.0</v>
      </c>
      <c r="B168" s="54" t="s">
        <v>97</v>
      </c>
      <c r="C168" s="56" t="s">
        <v>243</v>
      </c>
      <c r="D168" s="24"/>
      <c r="E168" s="24"/>
      <c r="F168" s="25"/>
      <c r="G168" s="42" t="s">
        <v>123</v>
      </c>
      <c r="H168" s="24"/>
      <c r="I168" s="24"/>
      <c r="J168" s="25"/>
      <c r="K168" s="56">
        <v>50.0</v>
      </c>
      <c r="L168" s="24"/>
      <c r="M168" s="24"/>
      <c r="N168" s="25"/>
      <c r="O168" s="57"/>
      <c r="P168" s="24"/>
      <c r="Q168" s="25"/>
      <c r="R168" s="57"/>
      <c r="S168" s="25"/>
      <c r="T168" s="57" t="s">
        <v>100</v>
      </c>
      <c r="U168" s="25"/>
      <c r="V168" s="57"/>
      <c r="W168" s="25"/>
      <c r="X168" s="57"/>
      <c r="Y168" s="25"/>
    </row>
    <row r="169" ht="26.25" customHeight="1">
      <c r="A169" s="53">
        <v>3.0</v>
      </c>
      <c r="B169" s="54" t="s">
        <v>148</v>
      </c>
      <c r="C169" s="56" t="s">
        <v>244</v>
      </c>
      <c r="D169" s="24"/>
      <c r="E169" s="24"/>
      <c r="F169" s="25"/>
      <c r="G169" s="42" t="s">
        <v>123</v>
      </c>
      <c r="H169" s="24"/>
      <c r="I169" s="24"/>
      <c r="J169" s="25"/>
      <c r="K169" s="56">
        <v>50.0</v>
      </c>
      <c r="L169" s="24"/>
      <c r="M169" s="24"/>
      <c r="N169" s="25"/>
      <c r="O169" s="57"/>
      <c r="P169" s="24"/>
      <c r="Q169" s="25"/>
      <c r="R169" s="57"/>
      <c r="S169" s="25"/>
      <c r="T169" s="57" t="s">
        <v>100</v>
      </c>
      <c r="U169" s="25"/>
      <c r="V169" s="57"/>
      <c r="W169" s="25"/>
      <c r="X169" s="57"/>
      <c r="Y169" s="25"/>
    </row>
    <row r="170" ht="26.25" customHeight="1">
      <c r="A170" s="53">
        <v>4.0</v>
      </c>
      <c r="B170" s="58" t="s">
        <v>245</v>
      </c>
      <c r="C170" s="57" t="s">
        <v>246</v>
      </c>
      <c r="D170" s="24"/>
      <c r="E170" s="24"/>
      <c r="F170" s="25"/>
      <c r="G170" s="66" t="s">
        <v>126</v>
      </c>
      <c r="H170" s="24"/>
      <c r="I170" s="24"/>
      <c r="J170" s="25"/>
      <c r="K170" s="56">
        <v>50.0</v>
      </c>
      <c r="L170" s="24"/>
      <c r="M170" s="24"/>
      <c r="N170" s="25"/>
      <c r="O170" s="57"/>
      <c r="P170" s="24"/>
      <c r="Q170" s="25"/>
      <c r="R170" s="57"/>
      <c r="S170" s="25"/>
      <c r="T170" s="57"/>
      <c r="U170" s="25"/>
      <c r="V170" s="57"/>
      <c r="W170" s="25"/>
      <c r="X170" s="57"/>
      <c r="Y170" s="25"/>
    </row>
    <row r="171" ht="26.25" customHeight="1">
      <c r="A171" s="53">
        <v>5.0</v>
      </c>
      <c r="B171" s="58"/>
      <c r="C171" s="57"/>
      <c r="D171" s="24"/>
      <c r="E171" s="24"/>
      <c r="F171" s="25"/>
      <c r="G171" s="57"/>
      <c r="H171" s="24"/>
      <c r="I171" s="24"/>
      <c r="J171" s="25"/>
      <c r="K171" s="57"/>
      <c r="L171" s="24"/>
      <c r="M171" s="24"/>
      <c r="N171" s="25"/>
      <c r="O171" s="57"/>
      <c r="P171" s="24"/>
      <c r="Q171" s="25"/>
      <c r="R171" s="57"/>
      <c r="S171" s="25"/>
      <c r="T171" s="57"/>
      <c r="U171" s="25"/>
      <c r="V171" s="57"/>
      <c r="W171" s="25"/>
      <c r="X171" s="57"/>
      <c r="Y171" s="25"/>
    </row>
    <row r="172" ht="26.25" customHeight="1">
      <c r="A172" s="58"/>
      <c r="B172" s="58"/>
      <c r="C172" s="57"/>
      <c r="D172" s="24"/>
      <c r="E172" s="24"/>
      <c r="F172" s="25"/>
      <c r="G172" s="57"/>
      <c r="H172" s="24"/>
      <c r="I172" s="24"/>
      <c r="J172" s="25"/>
      <c r="K172" s="57"/>
      <c r="L172" s="24"/>
      <c r="M172" s="24"/>
      <c r="N172" s="25"/>
      <c r="O172" s="57"/>
      <c r="P172" s="24"/>
      <c r="Q172" s="25"/>
      <c r="R172" s="57"/>
      <c r="S172" s="25"/>
      <c r="T172" s="57"/>
      <c r="U172" s="25"/>
      <c r="V172" s="57"/>
      <c r="W172" s="25"/>
      <c r="X172" s="57"/>
      <c r="Y172" s="25"/>
    </row>
    <row r="173" ht="26.25" customHeight="1">
      <c r="A173" s="53" t="s">
        <v>131</v>
      </c>
      <c r="B173" s="58"/>
      <c r="C173" s="57"/>
      <c r="D173" s="24"/>
      <c r="E173" s="24"/>
      <c r="F173" s="25"/>
      <c r="G173" s="57"/>
      <c r="H173" s="24"/>
      <c r="I173" s="24"/>
      <c r="J173" s="25"/>
      <c r="K173" s="57"/>
      <c r="L173" s="24"/>
      <c r="M173" s="24"/>
      <c r="N173" s="25"/>
      <c r="O173" s="57"/>
      <c r="P173" s="24"/>
      <c r="Q173" s="25"/>
      <c r="R173" s="57"/>
      <c r="S173" s="25"/>
      <c r="T173" s="57"/>
      <c r="U173" s="25"/>
      <c r="V173" s="57"/>
      <c r="W173" s="25"/>
      <c r="X173" s="57"/>
      <c r="Y173" s="25"/>
    </row>
    <row r="174" ht="26.2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</row>
    <row r="175" ht="32.25" customHeight="1">
      <c r="A175" s="60">
        <f>A18</f>
        <v>15</v>
      </c>
      <c r="B175" s="52" t="s">
        <v>2</v>
      </c>
      <c r="C175" s="61" t="str">
        <f>B18</f>
        <v>perfil</v>
      </c>
      <c r="D175" s="24"/>
      <c r="E175" s="24"/>
      <c r="F175" s="25"/>
      <c r="G175" s="52" t="s">
        <v>3</v>
      </c>
      <c r="H175" s="24"/>
      <c r="I175" s="24"/>
      <c r="J175" s="25"/>
      <c r="K175" s="71" t="s">
        <v>48</v>
      </c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5"/>
      <c r="X175" s="51" t="s">
        <v>86</v>
      </c>
      <c r="Y175" s="63" t="s">
        <v>87</v>
      </c>
    </row>
    <row r="176" ht="20.25" customHeight="1">
      <c r="A176" s="50" t="s">
        <v>1</v>
      </c>
      <c r="B176" s="51" t="s">
        <v>88</v>
      </c>
      <c r="C176" s="52" t="s">
        <v>89</v>
      </c>
      <c r="D176" s="24"/>
      <c r="E176" s="24"/>
      <c r="F176" s="25"/>
      <c r="G176" s="52" t="s">
        <v>90</v>
      </c>
      <c r="H176" s="24"/>
      <c r="I176" s="24"/>
      <c r="J176" s="25"/>
      <c r="K176" s="52" t="s">
        <v>91</v>
      </c>
      <c r="L176" s="24"/>
      <c r="M176" s="24"/>
      <c r="N176" s="25"/>
      <c r="O176" s="52" t="s">
        <v>92</v>
      </c>
      <c r="P176" s="24"/>
      <c r="Q176" s="25"/>
      <c r="R176" s="52" t="s">
        <v>93</v>
      </c>
      <c r="S176" s="25"/>
      <c r="T176" s="52" t="s">
        <v>94</v>
      </c>
      <c r="U176" s="25"/>
      <c r="V176" s="52" t="s">
        <v>95</v>
      </c>
      <c r="W176" s="25"/>
      <c r="X176" s="52" t="s">
        <v>96</v>
      </c>
      <c r="Y176" s="25"/>
    </row>
    <row r="177" ht="26.25" customHeight="1">
      <c r="A177" s="53">
        <v>1.0</v>
      </c>
      <c r="B177" s="68" t="s">
        <v>247</v>
      </c>
      <c r="C177" s="42" t="s">
        <v>248</v>
      </c>
      <c r="D177" s="24"/>
      <c r="E177" s="24"/>
      <c r="F177" s="25"/>
      <c r="G177" s="42" t="s">
        <v>99</v>
      </c>
      <c r="H177" s="24"/>
      <c r="I177" s="24"/>
      <c r="J177" s="25"/>
      <c r="K177" s="56">
        <v>50.0</v>
      </c>
      <c r="L177" s="24"/>
      <c r="M177" s="24"/>
      <c r="N177" s="25"/>
      <c r="O177" s="57"/>
      <c r="P177" s="24"/>
      <c r="Q177" s="25"/>
      <c r="R177" s="57" t="s">
        <v>100</v>
      </c>
      <c r="S177" s="25"/>
      <c r="T177" s="57"/>
      <c r="U177" s="25"/>
      <c r="V177" s="57"/>
      <c r="W177" s="25"/>
      <c r="X177" s="57"/>
      <c r="Y177" s="25"/>
    </row>
    <row r="178" ht="26.25" customHeight="1">
      <c r="A178" s="53">
        <v>2.0</v>
      </c>
      <c r="B178" s="54" t="s">
        <v>97</v>
      </c>
      <c r="C178" s="42" t="s">
        <v>249</v>
      </c>
      <c r="D178" s="24"/>
      <c r="E178" s="24"/>
      <c r="F178" s="25"/>
      <c r="G178" s="42" t="s">
        <v>123</v>
      </c>
      <c r="H178" s="24"/>
      <c r="I178" s="24"/>
      <c r="J178" s="25"/>
      <c r="K178" s="56">
        <v>50.0</v>
      </c>
      <c r="L178" s="24"/>
      <c r="M178" s="24"/>
      <c r="N178" s="25"/>
      <c r="O178" s="57"/>
      <c r="P178" s="24"/>
      <c r="Q178" s="25"/>
      <c r="R178" s="57"/>
      <c r="S178" s="25"/>
      <c r="T178" s="57" t="s">
        <v>100</v>
      </c>
      <c r="U178" s="25"/>
      <c r="V178" s="57"/>
      <c r="W178" s="25"/>
      <c r="X178" s="57"/>
      <c r="Y178" s="25"/>
    </row>
    <row r="179" ht="26.25" customHeight="1">
      <c r="A179" s="53">
        <v>3.0</v>
      </c>
      <c r="B179" s="68" t="s">
        <v>250</v>
      </c>
      <c r="C179" s="42" t="s">
        <v>251</v>
      </c>
      <c r="D179" s="24"/>
      <c r="E179" s="24"/>
      <c r="F179" s="25"/>
      <c r="G179" s="42" t="s">
        <v>130</v>
      </c>
      <c r="H179" s="24"/>
      <c r="I179" s="24"/>
      <c r="J179" s="25"/>
      <c r="K179" s="42">
        <v>500.0</v>
      </c>
      <c r="L179" s="24"/>
      <c r="M179" s="24"/>
      <c r="N179" s="25"/>
      <c r="O179" s="57"/>
      <c r="P179" s="24"/>
      <c r="Q179" s="25"/>
      <c r="R179" s="57"/>
      <c r="S179" s="25"/>
      <c r="T179" s="57"/>
      <c r="U179" s="25"/>
      <c r="V179" s="57"/>
      <c r="W179" s="25"/>
      <c r="X179" s="57"/>
      <c r="Y179" s="25"/>
    </row>
    <row r="180" ht="26.25" customHeight="1">
      <c r="A180" s="53">
        <v>4.0</v>
      </c>
      <c r="B180" s="65" t="s">
        <v>252</v>
      </c>
      <c r="C180" s="66" t="s">
        <v>253</v>
      </c>
      <c r="D180" s="24"/>
      <c r="E180" s="24"/>
      <c r="F180" s="25"/>
      <c r="G180" s="66" t="s">
        <v>123</v>
      </c>
      <c r="H180" s="24"/>
      <c r="I180" s="24"/>
      <c r="J180" s="25"/>
      <c r="K180" s="56">
        <v>50.0</v>
      </c>
      <c r="L180" s="24"/>
      <c r="M180" s="24"/>
      <c r="N180" s="25"/>
      <c r="O180" s="57"/>
      <c r="P180" s="24"/>
      <c r="Q180" s="25"/>
      <c r="R180" s="57"/>
      <c r="S180" s="25"/>
      <c r="T180" s="57"/>
      <c r="U180" s="25"/>
      <c r="V180" s="57"/>
      <c r="W180" s="25"/>
      <c r="X180" s="57"/>
      <c r="Y180" s="25"/>
    </row>
    <row r="181" ht="26.25" customHeight="1">
      <c r="A181" s="53">
        <v>5.0</v>
      </c>
      <c r="B181" s="65" t="s">
        <v>254</v>
      </c>
      <c r="C181" s="66" t="s">
        <v>255</v>
      </c>
      <c r="D181" s="24"/>
      <c r="E181" s="24"/>
      <c r="F181" s="25"/>
      <c r="G181" s="66" t="s">
        <v>104</v>
      </c>
      <c r="H181" s="24"/>
      <c r="I181" s="24"/>
      <c r="J181" s="25"/>
      <c r="K181" s="66">
        <v>50.0</v>
      </c>
      <c r="L181" s="24"/>
      <c r="M181" s="24"/>
      <c r="N181" s="25"/>
      <c r="O181" s="57"/>
      <c r="P181" s="24"/>
      <c r="Q181" s="25"/>
      <c r="R181" s="57"/>
      <c r="S181" s="25"/>
      <c r="T181" s="57"/>
      <c r="U181" s="25"/>
      <c r="V181" s="66" t="s">
        <v>100</v>
      </c>
      <c r="W181" s="25"/>
      <c r="X181" s="57"/>
      <c r="Y181" s="25"/>
    </row>
    <row r="182" ht="26.25" customHeight="1">
      <c r="A182" s="72">
        <v>6.0</v>
      </c>
      <c r="B182" s="65" t="s">
        <v>137</v>
      </c>
      <c r="C182" s="66" t="s">
        <v>256</v>
      </c>
      <c r="D182" s="24"/>
      <c r="E182" s="24"/>
      <c r="F182" s="25"/>
      <c r="G182" s="66" t="s">
        <v>67</v>
      </c>
      <c r="H182" s="24"/>
      <c r="I182" s="24"/>
      <c r="J182" s="25"/>
      <c r="K182" s="66">
        <v>50.0</v>
      </c>
      <c r="L182" s="24"/>
      <c r="M182" s="24"/>
      <c r="N182" s="25"/>
      <c r="O182" s="57"/>
      <c r="P182" s="24"/>
      <c r="Q182" s="25"/>
      <c r="R182" s="57"/>
      <c r="S182" s="25"/>
      <c r="T182" s="57"/>
      <c r="U182" s="25"/>
      <c r="V182" s="57"/>
      <c r="W182" s="25"/>
      <c r="X182" s="57"/>
      <c r="Y182" s="25"/>
    </row>
    <row r="183" ht="26.25" customHeight="1">
      <c r="A183" s="53" t="s">
        <v>131</v>
      </c>
      <c r="B183" s="65" t="s">
        <v>257</v>
      </c>
      <c r="C183" s="66" t="s">
        <v>258</v>
      </c>
      <c r="D183" s="24"/>
      <c r="E183" s="24"/>
      <c r="F183" s="25"/>
      <c r="G183" s="66" t="s">
        <v>123</v>
      </c>
      <c r="H183" s="24"/>
      <c r="I183" s="24"/>
      <c r="J183" s="25"/>
      <c r="K183" s="66">
        <v>10.0</v>
      </c>
      <c r="L183" s="24"/>
      <c r="M183" s="24"/>
      <c r="N183" s="25"/>
      <c r="O183" s="57"/>
      <c r="P183" s="24"/>
      <c r="Q183" s="25"/>
      <c r="R183" s="57"/>
      <c r="S183" s="25"/>
      <c r="T183" s="57"/>
      <c r="U183" s="25"/>
      <c r="V183" s="57"/>
      <c r="W183" s="25"/>
      <c r="X183" s="57"/>
      <c r="Y183" s="25"/>
    </row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122">
    <mergeCell ref="K102:N102"/>
    <mergeCell ref="O102:Q102"/>
    <mergeCell ref="R102:S102"/>
    <mergeCell ref="T102:U102"/>
    <mergeCell ref="V102:W102"/>
    <mergeCell ref="X102:Y102"/>
    <mergeCell ref="A103:Y103"/>
    <mergeCell ref="K104:W104"/>
    <mergeCell ref="G102:J102"/>
    <mergeCell ref="G104:J104"/>
    <mergeCell ref="G105:J105"/>
    <mergeCell ref="K105:N105"/>
    <mergeCell ref="O105:Q105"/>
    <mergeCell ref="R105:S105"/>
    <mergeCell ref="T105:U105"/>
    <mergeCell ref="G78:J78"/>
    <mergeCell ref="K78:N78"/>
    <mergeCell ref="O78:Q78"/>
    <mergeCell ref="R78:S78"/>
    <mergeCell ref="T78:U78"/>
    <mergeCell ref="V78:W78"/>
    <mergeCell ref="X78:Y78"/>
    <mergeCell ref="K79:N79"/>
    <mergeCell ref="O79:Q79"/>
    <mergeCell ref="R79:S79"/>
    <mergeCell ref="T79:U79"/>
    <mergeCell ref="V79:W79"/>
    <mergeCell ref="X79:Y79"/>
    <mergeCell ref="A82:Y82"/>
    <mergeCell ref="K83:W83"/>
    <mergeCell ref="V84:W84"/>
    <mergeCell ref="X84:Y84"/>
    <mergeCell ref="G79:J79"/>
    <mergeCell ref="G83:J83"/>
    <mergeCell ref="G84:J84"/>
    <mergeCell ref="K84:N84"/>
    <mergeCell ref="O84:Q84"/>
    <mergeCell ref="R84:S84"/>
    <mergeCell ref="T84:U84"/>
    <mergeCell ref="G85:J85"/>
    <mergeCell ref="K85:N85"/>
    <mergeCell ref="O85:Q85"/>
    <mergeCell ref="R85:S85"/>
    <mergeCell ref="T85:U85"/>
    <mergeCell ref="V85:W85"/>
    <mergeCell ref="X85:Y85"/>
    <mergeCell ref="G86:J86"/>
    <mergeCell ref="K86:N86"/>
    <mergeCell ref="O86:Q86"/>
    <mergeCell ref="R86:S86"/>
    <mergeCell ref="T86:U86"/>
    <mergeCell ref="V86:W86"/>
    <mergeCell ref="X86:Y86"/>
    <mergeCell ref="G122:J122"/>
    <mergeCell ref="K122:N122"/>
    <mergeCell ref="O122:Q122"/>
    <mergeCell ref="R122:S122"/>
    <mergeCell ref="T122:U122"/>
    <mergeCell ref="V122:W122"/>
    <mergeCell ref="X122:Y122"/>
    <mergeCell ref="G107:J107"/>
    <mergeCell ref="K107:N107"/>
    <mergeCell ref="O107:Q107"/>
    <mergeCell ref="R107:S107"/>
    <mergeCell ref="T107:U107"/>
    <mergeCell ref="V107:W107"/>
    <mergeCell ref="X107:Y107"/>
    <mergeCell ref="G108:J108"/>
    <mergeCell ref="K108:N108"/>
    <mergeCell ref="O108:Q108"/>
    <mergeCell ref="R108:S108"/>
    <mergeCell ref="T108:U108"/>
    <mergeCell ref="V108:W108"/>
    <mergeCell ref="X108:Y108"/>
    <mergeCell ref="G109:J109"/>
    <mergeCell ref="K109:N109"/>
    <mergeCell ref="O109:Q109"/>
    <mergeCell ref="R109:S109"/>
    <mergeCell ref="T109:U109"/>
    <mergeCell ref="V109:W109"/>
    <mergeCell ref="X109:Y109"/>
    <mergeCell ref="G110:J110"/>
    <mergeCell ref="K110:N110"/>
    <mergeCell ref="O110:Q110"/>
    <mergeCell ref="R110:S110"/>
    <mergeCell ref="T110:U110"/>
    <mergeCell ref="V110:W110"/>
    <mergeCell ref="X110:Y110"/>
    <mergeCell ref="G111:J111"/>
    <mergeCell ref="K111:N111"/>
    <mergeCell ref="O111:Q111"/>
    <mergeCell ref="R111:S111"/>
    <mergeCell ref="T111:U111"/>
    <mergeCell ref="V111:W111"/>
    <mergeCell ref="X111:Y111"/>
    <mergeCell ref="K112:N112"/>
    <mergeCell ref="O112:Q112"/>
    <mergeCell ref="R112:S112"/>
    <mergeCell ref="T112:U112"/>
    <mergeCell ref="V112:W112"/>
    <mergeCell ref="X112:Y112"/>
    <mergeCell ref="A113:Y113"/>
    <mergeCell ref="T115:U115"/>
    <mergeCell ref="V115:W115"/>
    <mergeCell ref="X115:Y115"/>
    <mergeCell ref="G112:J112"/>
    <mergeCell ref="G114:J114"/>
    <mergeCell ref="K114:W114"/>
    <mergeCell ref="G115:J115"/>
    <mergeCell ref="K115:N115"/>
    <mergeCell ref="O115:Q115"/>
    <mergeCell ref="R115:S115"/>
    <mergeCell ref="G116:J116"/>
    <mergeCell ref="K116:N116"/>
    <mergeCell ref="O116:Q116"/>
    <mergeCell ref="R116:S116"/>
    <mergeCell ref="T116:U116"/>
    <mergeCell ref="V116:W116"/>
    <mergeCell ref="X116:Y116"/>
    <mergeCell ref="G117:J117"/>
    <mergeCell ref="K117:N117"/>
    <mergeCell ref="O117:Q117"/>
    <mergeCell ref="R117:S117"/>
    <mergeCell ref="T117:U117"/>
    <mergeCell ref="V117:W117"/>
    <mergeCell ref="X117:Y117"/>
    <mergeCell ref="G118:J118"/>
    <mergeCell ref="K118:N118"/>
    <mergeCell ref="O118:Q118"/>
    <mergeCell ref="R118:S118"/>
    <mergeCell ref="T118:U118"/>
    <mergeCell ref="V118:W118"/>
    <mergeCell ref="X118:Y118"/>
    <mergeCell ref="G119:J119"/>
    <mergeCell ref="K119:N119"/>
    <mergeCell ref="O119:Q119"/>
    <mergeCell ref="R119:S119"/>
    <mergeCell ref="T119:U119"/>
    <mergeCell ref="V119:W119"/>
    <mergeCell ref="X119:Y119"/>
    <mergeCell ref="G120:J120"/>
    <mergeCell ref="K120:N120"/>
    <mergeCell ref="O120:Q120"/>
    <mergeCell ref="R120:S120"/>
    <mergeCell ref="T120:U120"/>
    <mergeCell ref="V120:W120"/>
    <mergeCell ref="X120:Y120"/>
    <mergeCell ref="G121:J121"/>
    <mergeCell ref="K121:N121"/>
    <mergeCell ref="O121:Q121"/>
    <mergeCell ref="R121:S121"/>
    <mergeCell ref="T121:U121"/>
    <mergeCell ref="V121:W121"/>
    <mergeCell ref="X121:Y121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3:F73"/>
    <mergeCell ref="R123:S123"/>
    <mergeCell ref="T123:U123"/>
    <mergeCell ref="V123:W123"/>
    <mergeCell ref="X123:Y123"/>
    <mergeCell ref="A124:Y124"/>
    <mergeCell ref="G125:J125"/>
    <mergeCell ref="K125:W125"/>
    <mergeCell ref="C125:F125"/>
    <mergeCell ref="C126:F126"/>
    <mergeCell ref="G126:J126"/>
    <mergeCell ref="K126:N126"/>
    <mergeCell ref="O126:Q126"/>
    <mergeCell ref="R126:S126"/>
    <mergeCell ref="T126:U126"/>
    <mergeCell ref="G127:J127"/>
    <mergeCell ref="K127:N127"/>
    <mergeCell ref="O127:Q127"/>
    <mergeCell ref="R127:S127"/>
    <mergeCell ref="T127:U127"/>
    <mergeCell ref="V127:W127"/>
    <mergeCell ref="X127:Y127"/>
    <mergeCell ref="C127:F127"/>
    <mergeCell ref="C128:F128"/>
    <mergeCell ref="G128:J128"/>
    <mergeCell ref="K128:N128"/>
    <mergeCell ref="O128:Q128"/>
    <mergeCell ref="R128:S128"/>
    <mergeCell ref="T128:U128"/>
    <mergeCell ref="T129:U129"/>
    <mergeCell ref="V129:W129"/>
    <mergeCell ref="V128:W128"/>
    <mergeCell ref="X128:Y128"/>
    <mergeCell ref="G129:J129"/>
    <mergeCell ref="K129:N129"/>
    <mergeCell ref="O129:Q129"/>
    <mergeCell ref="R129:S129"/>
    <mergeCell ref="X129:Y129"/>
    <mergeCell ref="V130:W130"/>
    <mergeCell ref="X130:Y130"/>
    <mergeCell ref="C129:F129"/>
    <mergeCell ref="C130:F130"/>
    <mergeCell ref="G130:J130"/>
    <mergeCell ref="K130:N130"/>
    <mergeCell ref="O130:Q130"/>
    <mergeCell ref="R130:S130"/>
    <mergeCell ref="T130:U130"/>
    <mergeCell ref="G131:J131"/>
    <mergeCell ref="K131:N131"/>
    <mergeCell ref="O131:Q131"/>
    <mergeCell ref="R131:S131"/>
    <mergeCell ref="T131:U131"/>
    <mergeCell ref="V131:W131"/>
    <mergeCell ref="X131:Y131"/>
    <mergeCell ref="C131:F131"/>
    <mergeCell ref="C132:F132"/>
    <mergeCell ref="G132:J132"/>
    <mergeCell ref="K132:N132"/>
    <mergeCell ref="O132:Q132"/>
    <mergeCell ref="R132:S132"/>
    <mergeCell ref="T132:U132"/>
    <mergeCell ref="T133:U133"/>
    <mergeCell ref="V133:W133"/>
    <mergeCell ref="V132:W132"/>
    <mergeCell ref="X132:Y132"/>
    <mergeCell ref="G133:J133"/>
    <mergeCell ref="K133:N133"/>
    <mergeCell ref="O133:Q133"/>
    <mergeCell ref="R133:S133"/>
    <mergeCell ref="X133:Y133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4:F114"/>
    <mergeCell ref="C115:F115"/>
    <mergeCell ref="C116:F116"/>
    <mergeCell ref="C117:F117"/>
    <mergeCell ref="C118:F118"/>
    <mergeCell ref="C119:F119"/>
    <mergeCell ref="C74:F74"/>
    <mergeCell ref="C75:F75"/>
    <mergeCell ref="C76:F76"/>
    <mergeCell ref="C77:F77"/>
    <mergeCell ref="C78:F78"/>
    <mergeCell ref="C79:F79"/>
    <mergeCell ref="C80:F80"/>
    <mergeCell ref="C81:F81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4:F104"/>
    <mergeCell ref="C120:F120"/>
    <mergeCell ref="C121:F121"/>
    <mergeCell ref="C122:F122"/>
    <mergeCell ref="C123:F123"/>
    <mergeCell ref="G123:J123"/>
    <mergeCell ref="K123:N123"/>
    <mergeCell ref="O123:Q123"/>
    <mergeCell ref="V126:W126"/>
    <mergeCell ref="X126:Y126"/>
    <mergeCell ref="T136:U136"/>
    <mergeCell ref="V136:W136"/>
    <mergeCell ref="X136:Y136"/>
    <mergeCell ref="G139:J139"/>
    <mergeCell ref="K139:N139"/>
    <mergeCell ref="O139:Q139"/>
    <mergeCell ref="R139:S139"/>
    <mergeCell ref="T139:U139"/>
    <mergeCell ref="V139:W139"/>
    <mergeCell ref="X139:Y139"/>
    <mergeCell ref="C139:F139"/>
    <mergeCell ref="C140:F140"/>
    <mergeCell ref="G140:J140"/>
    <mergeCell ref="K140:N140"/>
    <mergeCell ref="O140:Q140"/>
    <mergeCell ref="R140:S140"/>
    <mergeCell ref="T140:U140"/>
    <mergeCell ref="G141:J141"/>
    <mergeCell ref="K141:N141"/>
    <mergeCell ref="O141:Q141"/>
    <mergeCell ref="R141:S141"/>
    <mergeCell ref="T141:U141"/>
    <mergeCell ref="V141:W141"/>
    <mergeCell ref="X141:Y141"/>
    <mergeCell ref="C141:F141"/>
    <mergeCell ref="C142:F142"/>
    <mergeCell ref="G142:J142"/>
    <mergeCell ref="K142:N142"/>
    <mergeCell ref="O142:Q142"/>
    <mergeCell ref="R142:S142"/>
    <mergeCell ref="T142:U142"/>
    <mergeCell ref="O136:Q136"/>
    <mergeCell ref="R136:S136"/>
    <mergeCell ref="C133:F133"/>
    <mergeCell ref="C135:F135"/>
    <mergeCell ref="G135:J135"/>
    <mergeCell ref="K135:W135"/>
    <mergeCell ref="C136:F136"/>
    <mergeCell ref="G136:J136"/>
    <mergeCell ref="K136:N136"/>
    <mergeCell ref="G137:J137"/>
    <mergeCell ref="K137:N137"/>
    <mergeCell ref="O137:Q137"/>
    <mergeCell ref="R137:S137"/>
    <mergeCell ref="T137:U137"/>
    <mergeCell ref="V137:W137"/>
    <mergeCell ref="X137:Y137"/>
    <mergeCell ref="V138:W138"/>
    <mergeCell ref="X138:Y138"/>
    <mergeCell ref="C137:F137"/>
    <mergeCell ref="C138:F138"/>
    <mergeCell ref="G138:J138"/>
    <mergeCell ref="K138:N138"/>
    <mergeCell ref="O138:Q138"/>
    <mergeCell ref="R138:S138"/>
    <mergeCell ref="T138:U138"/>
    <mergeCell ref="V140:W140"/>
    <mergeCell ref="X140:Y140"/>
    <mergeCell ref="T143:U143"/>
    <mergeCell ref="V143:W143"/>
    <mergeCell ref="G148:J148"/>
    <mergeCell ref="K148:N148"/>
    <mergeCell ref="C148:F148"/>
    <mergeCell ref="C149:F149"/>
    <mergeCell ref="G149:J149"/>
    <mergeCell ref="K149:N149"/>
    <mergeCell ref="O149:Q149"/>
    <mergeCell ref="R149:S149"/>
    <mergeCell ref="T149:U149"/>
    <mergeCell ref="R156:S156"/>
    <mergeCell ref="T156:U156"/>
    <mergeCell ref="V156:W156"/>
    <mergeCell ref="X156:Y156"/>
    <mergeCell ref="G157:J157"/>
    <mergeCell ref="K157:N157"/>
    <mergeCell ref="O157:Q157"/>
    <mergeCell ref="R157:S157"/>
    <mergeCell ref="T157:U157"/>
    <mergeCell ref="V157:W157"/>
    <mergeCell ref="X157:Y157"/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F29:W2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G41:J41"/>
    <mergeCell ref="G43:J43"/>
    <mergeCell ref="K43:W43"/>
    <mergeCell ref="G57:J57"/>
    <mergeCell ref="K57:N57"/>
    <mergeCell ref="O57:Q57"/>
    <mergeCell ref="R57:S57"/>
    <mergeCell ref="T57:U57"/>
    <mergeCell ref="V57:W57"/>
    <mergeCell ref="X57:Y57"/>
    <mergeCell ref="G58:J58"/>
    <mergeCell ref="K58:N58"/>
    <mergeCell ref="O58:Q58"/>
    <mergeCell ref="R58:S58"/>
    <mergeCell ref="T58:U58"/>
    <mergeCell ref="V58:W58"/>
    <mergeCell ref="X58:Y58"/>
    <mergeCell ref="G48:J48"/>
    <mergeCell ref="K48:N48"/>
    <mergeCell ref="O48:Q48"/>
    <mergeCell ref="R48:S48"/>
    <mergeCell ref="T48:U48"/>
    <mergeCell ref="V48:W48"/>
    <mergeCell ref="X48:Y48"/>
    <mergeCell ref="K49:N49"/>
    <mergeCell ref="O49:Q49"/>
    <mergeCell ref="R49:S49"/>
    <mergeCell ref="T49:U49"/>
    <mergeCell ref="V49:W49"/>
    <mergeCell ref="X49:Y49"/>
    <mergeCell ref="A52:Y52"/>
    <mergeCell ref="K53:W53"/>
    <mergeCell ref="V54:W54"/>
    <mergeCell ref="X54:Y54"/>
    <mergeCell ref="G49:J49"/>
    <mergeCell ref="G53:J53"/>
    <mergeCell ref="G54:J54"/>
    <mergeCell ref="K54:N54"/>
    <mergeCell ref="O54:Q54"/>
    <mergeCell ref="R54:S54"/>
    <mergeCell ref="T54:U54"/>
    <mergeCell ref="G55:J55"/>
    <mergeCell ref="K55:N55"/>
    <mergeCell ref="O55:Q55"/>
    <mergeCell ref="R55:S55"/>
    <mergeCell ref="T55:U55"/>
    <mergeCell ref="V55:W55"/>
    <mergeCell ref="X55:Y55"/>
    <mergeCell ref="G56:J56"/>
    <mergeCell ref="K56:N56"/>
    <mergeCell ref="O56:Q56"/>
    <mergeCell ref="R56:S56"/>
    <mergeCell ref="T56:U56"/>
    <mergeCell ref="V56:W56"/>
    <mergeCell ref="X56:Y56"/>
    <mergeCell ref="G59:J59"/>
    <mergeCell ref="K59:N59"/>
    <mergeCell ref="O59:Q59"/>
    <mergeCell ref="R59:S59"/>
    <mergeCell ref="T59:U59"/>
    <mergeCell ref="V59:W59"/>
    <mergeCell ref="X59:Y59"/>
    <mergeCell ref="G50:J50"/>
    <mergeCell ref="K50:N50"/>
    <mergeCell ref="O50:Q50"/>
    <mergeCell ref="R50:S50"/>
    <mergeCell ref="T50:U50"/>
    <mergeCell ref="V50:W50"/>
    <mergeCell ref="X50:Y50"/>
    <mergeCell ref="G51:J51"/>
    <mergeCell ref="K51:N51"/>
    <mergeCell ref="O51:Q51"/>
    <mergeCell ref="R51:S51"/>
    <mergeCell ref="T51:U51"/>
    <mergeCell ref="V51:W51"/>
    <mergeCell ref="X51:Y51"/>
    <mergeCell ref="G39:J39"/>
    <mergeCell ref="K40:N40"/>
    <mergeCell ref="O40:Q40"/>
    <mergeCell ref="R40:S40"/>
    <mergeCell ref="T40:U40"/>
    <mergeCell ref="V40:W40"/>
    <mergeCell ref="X40:Y40"/>
    <mergeCell ref="G40:J40"/>
    <mergeCell ref="K41:N41"/>
    <mergeCell ref="O41:Q41"/>
    <mergeCell ref="R41:S41"/>
    <mergeCell ref="T41:U41"/>
    <mergeCell ref="V41:W41"/>
    <mergeCell ref="X41:Y41"/>
    <mergeCell ref="G44:J44"/>
    <mergeCell ref="K44:N44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G47:J47"/>
    <mergeCell ref="K47:N47"/>
    <mergeCell ref="O47:Q47"/>
    <mergeCell ref="R47:S47"/>
    <mergeCell ref="T47:U47"/>
    <mergeCell ref="V47:W47"/>
    <mergeCell ref="X47:Y47"/>
    <mergeCell ref="G61:J61"/>
    <mergeCell ref="G63:J63"/>
    <mergeCell ref="K63:W63"/>
    <mergeCell ref="G70:J70"/>
    <mergeCell ref="K70:N70"/>
    <mergeCell ref="O70:Q70"/>
    <mergeCell ref="R70:S70"/>
    <mergeCell ref="T70:U70"/>
    <mergeCell ref="V70:W70"/>
    <mergeCell ref="X70:Y70"/>
    <mergeCell ref="K71:N71"/>
    <mergeCell ref="O71:Q71"/>
    <mergeCell ref="R71:S71"/>
    <mergeCell ref="T71:U71"/>
    <mergeCell ref="V71:W71"/>
    <mergeCell ref="X71:Y71"/>
    <mergeCell ref="A72:Y72"/>
    <mergeCell ref="G60:J60"/>
    <mergeCell ref="K60:N60"/>
    <mergeCell ref="O60:Q60"/>
    <mergeCell ref="R60:S60"/>
    <mergeCell ref="T60:U60"/>
    <mergeCell ref="V60:W60"/>
    <mergeCell ref="X60:Y60"/>
    <mergeCell ref="K61:N61"/>
    <mergeCell ref="O61:Q61"/>
    <mergeCell ref="R61:S61"/>
    <mergeCell ref="T61:U61"/>
    <mergeCell ref="V61:W61"/>
    <mergeCell ref="X61:Y61"/>
    <mergeCell ref="A62:Y62"/>
    <mergeCell ref="G64:J64"/>
    <mergeCell ref="K64:N64"/>
    <mergeCell ref="O64:Q64"/>
    <mergeCell ref="R64:S64"/>
    <mergeCell ref="T64:U64"/>
    <mergeCell ref="V64:W64"/>
    <mergeCell ref="X64:Y64"/>
    <mergeCell ref="G65:J65"/>
    <mergeCell ref="K65:N65"/>
    <mergeCell ref="O65:Q65"/>
    <mergeCell ref="R65:S65"/>
    <mergeCell ref="T65:U65"/>
    <mergeCell ref="V65:W65"/>
    <mergeCell ref="X65:Y65"/>
    <mergeCell ref="G66:J66"/>
    <mergeCell ref="K66:N66"/>
    <mergeCell ref="O66:Q66"/>
    <mergeCell ref="R66:S66"/>
    <mergeCell ref="T66:U66"/>
    <mergeCell ref="V66:W66"/>
    <mergeCell ref="X66:Y66"/>
    <mergeCell ref="G67:J67"/>
    <mergeCell ref="K67:N67"/>
    <mergeCell ref="O67:Q67"/>
    <mergeCell ref="R67:S67"/>
    <mergeCell ref="T67:U67"/>
    <mergeCell ref="V67:W67"/>
    <mergeCell ref="X67:Y67"/>
    <mergeCell ref="G71:J71"/>
    <mergeCell ref="G73:J73"/>
    <mergeCell ref="K73:W73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T33:U33"/>
    <mergeCell ref="V33:W33"/>
    <mergeCell ref="A30:Y30"/>
    <mergeCell ref="G32:J32"/>
    <mergeCell ref="K32:W32"/>
    <mergeCell ref="K33:N33"/>
    <mergeCell ref="O33:Q33"/>
    <mergeCell ref="R33:S33"/>
    <mergeCell ref="X33:Y33"/>
    <mergeCell ref="G33:J33"/>
    <mergeCell ref="K34:N34"/>
    <mergeCell ref="O34:Q34"/>
    <mergeCell ref="R34:S34"/>
    <mergeCell ref="T34:U34"/>
    <mergeCell ref="V34:W34"/>
    <mergeCell ref="X34:Y34"/>
    <mergeCell ref="G34:J34"/>
    <mergeCell ref="K35:N35"/>
    <mergeCell ref="O35:Q35"/>
    <mergeCell ref="R35:S35"/>
    <mergeCell ref="T35:U35"/>
    <mergeCell ref="V35:W35"/>
    <mergeCell ref="X35:Y35"/>
    <mergeCell ref="G35:J35"/>
    <mergeCell ref="K36:N36"/>
    <mergeCell ref="O36:Q36"/>
    <mergeCell ref="R36:S36"/>
    <mergeCell ref="T36:U36"/>
    <mergeCell ref="V36:W36"/>
    <mergeCell ref="X36:Y36"/>
    <mergeCell ref="G36:J36"/>
    <mergeCell ref="K37:N37"/>
    <mergeCell ref="O37:Q37"/>
    <mergeCell ref="R37:S37"/>
    <mergeCell ref="T37:U37"/>
    <mergeCell ref="V37:W37"/>
    <mergeCell ref="X37:Y37"/>
    <mergeCell ref="G37:J37"/>
    <mergeCell ref="K38:N38"/>
    <mergeCell ref="O38:Q38"/>
    <mergeCell ref="R38:S38"/>
    <mergeCell ref="T38:U38"/>
    <mergeCell ref="V38:W38"/>
    <mergeCell ref="X38:Y38"/>
    <mergeCell ref="G38:J38"/>
    <mergeCell ref="K39:N39"/>
    <mergeCell ref="O39:Q39"/>
    <mergeCell ref="R39:S39"/>
    <mergeCell ref="T39:U39"/>
    <mergeCell ref="V39:W39"/>
    <mergeCell ref="X39:Y39"/>
    <mergeCell ref="G68:J68"/>
    <mergeCell ref="K68:N68"/>
    <mergeCell ref="O68:Q68"/>
    <mergeCell ref="R68:S68"/>
    <mergeCell ref="T68:U68"/>
    <mergeCell ref="V68:W68"/>
    <mergeCell ref="X68:Y68"/>
    <mergeCell ref="G69:J69"/>
    <mergeCell ref="K69:N69"/>
    <mergeCell ref="O69:Q69"/>
    <mergeCell ref="R69:S69"/>
    <mergeCell ref="T69:U69"/>
    <mergeCell ref="V69:W69"/>
    <mergeCell ref="X69:Y69"/>
    <mergeCell ref="G74:J74"/>
    <mergeCell ref="K74:N74"/>
    <mergeCell ref="O74:Q74"/>
    <mergeCell ref="R74:S74"/>
    <mergeCell ref="T74:U74"/>
    <mergeCell ref="V74:W74"/>
    <mergeCell ref="X74:Y74"/>
    <mergeCell ref="G75:J75"/>
    <mergeCell ref="K75:N75"/>
    <mergeCell ref="O75:Q75"/>
    <mergeCell ref="R75:S75"/>
    <mergeCell ref="T75:U75"/>
    <mergeCell ref="V75:W75"/>
    <mergeCell ref="X75:Y75"/>
    <mergeCell ref="G76:J76"/>
    <mergeCell ref="K76:N76"/>
    <mergeCell ref="O76:Q76"/>
    <mergeCell ref="R76:S76"/>
    <mergeCell ref="T76:U76"/>
    <mergeCell ref="V76:W76"/>
    <mergeCell ref="X76:Y76"/>
    <mergeCell ref="G77:J77"/>
    <mergeCell ref="K77:N77"/>
    <mergeCell ref="O77:Q77"/>
    <mergeCell ref="R77:S77"/>
    <mergeCell ref="T77:U77"/>
    <mergeCell ref="V77:W77"/>
    <mergeCell ref="X77:Y77"/>
    <mergeCell ref="G81:J81"/>
    <mergeCell ref="K81:N81"/>
    <mergeCell ref="O81:Q81"/>
    <mergeCell ref="R81:S81"/>
    <mergeCell ref="T81:U81"/>
    <mergeCell ref="V81:W81"/>
    <mergeCell ref="X81:Y81"/>
    <mergeCell ref="G80:J80"/>
    <mergeCell ref="K80:N80"/>
    <mergeCell ref="O80:Q80"/>
    <mergeCell ref="R80:S80"/>
    <mergeCell ref="T80:U80"/>
    <mergeCell ref="V80:W80"/>
    <mergeCell ref="X80:Y80"/>
    <mergeCell ref="G87:J87"/>
    <mergeCell ref="K87:N87"/>
    <mergeCell ref="O87:Q87"/>
    <mergeCell ref="R87:S87"/>
    <mergeCell ref="T87:U87"/>
    <mergeCell ref="V87:W87"/>
    <mergeCell ref="X87:Y87"/>
    <mergeCell ref="G88:J88"/>
    <mergeCell ref="K88:N88"/>
    <mergeCell ref="O88:Q88"/>
    <mergeCell ref="R88:S88"/>
    <mergeCell ref="T88:U88"/>
    <mergeCell ref="V88:W88"/>
    <mergeCell ref="X88:Y88"/>
    <mergeCell ref="G89:J89"/>
    <mergeCell ref="K89:N89"/>
    <mergeCell ref="O89:Q89"/>
    <mergeCell ref="R89:S89"/>
    <mergeCell ref="T89:U89"/>
    <mergeCell ref="V89:W89"/>
    <mergeCell ref="X89:Y89"/>
    <mergeCell ref="G90:J90"/>
    <mergeCell ref="K90:N90"/>
    <mergeCell ref="O90:Q90"/>
    <mergeCell ref="R90:S90"/>
    <mergeCell ref="T90:U90"/>
    <mergeCell ref="V90:W90"/>
    <mergeCell ref="X90:Y90"/>
    <mergeCell ref="G91:J91"/>
    <mergeCell ref="K91:N91"/>
    <mergeCell ref="O91:Q91"/>
    <mergeCell ref="R91:S91"/>
    <mergeCell ref="T91:U91"/>
    <mergeCell ref="V91:W91"/>
    <mergeCell ref="X91:Y91"/>
    <mergeCell ref="K92:N92"/>
    <mergeCell ref="O92:Q92"/>
    <mergeCell ref="R92:S92"/>
    <mergeCell ref="T92:U92"/>
    <mergeCell ref="V92:W92"/>
    <mergeCell ref="X92:Y92"/>
    <mergeCell ref="A93:Y93"/>
    <mergeCell ref="T95:U95"/>
    <mergeCell ref="V95:W95"/>
    <mergeCell ref="X95:Y95"/>
    <mergeCell ref="G92:J92"/>
    <mergeCell ref="G94:J94"/>
    <mergeCell ref="K94:W94"/>
    <mergeCell ref="G95:J95"/>
    <mergeCell ref="K95:N95"/>
    <mergeCell ref="O95:Q95"/>
    <mergeCell ref="R95:S95"/>
    <mergeCell ref="G96:J96"/>
    <mergeCell ref="K96:N96"/>
    <mergeCell ref="O96:Q96"/>
    <mergeCell ref="R96:S96"/>
    <mergeCell ref="T96:U96"/>
    <mergeCell ref="V96:W96"/>
    <mergeCell ref="X96:Y96"/>
    <mergeCell ref="G97:J97"/>
    <mergeCell ref="K97:N97"/>
    <mergeCell ref="O97:Q97"/>
    <mergeCell ref="R97:S97"/>
    <mergeCell ref="T97:U97"/>
    <mergeCell ref="V97:W97"/>
    <mergeCell ref="X97:Y97"/>
    <mergeCell ref="G98:J98"/>
    <mergeCell ref="K98:N98"/>
    <mergeCell ref="O98:Q98"/>
    <mergeCell ref="R98:S98"/>
    <mergeCell ref="T98:U98"/>
    <mergeCell ref="V98:W98"/>
    <mergeCell ref="X98:Y98"/>
    <mergeCell ref="G99:J99"/>
    <mergeCell ref="K99:N99"/>
    <mergeCell ref="O99:Q99"/>
    <mergeCell ref="R99:S99"/>
    <mergeCell ref="T99:U99"/>
    <mergeCell ref="V99:W99"/>
    <mergeCell ref="X99:Y99"/>
    <mergeCell ref="G100:J100"/>
    <mergeCell ref="K100:N100"/>
    <mergeCell ref="O100:Q100"/>
    <mergeCell ref="R100:S100"/>
    <mergeCell ref="T100:U100"/>
    <mergeCell ref="V100:W100"/>
    <mergeCell ref="X100:Y100"/>
    <mergeCell ref="G101:J101"/>
    <mergeCell ref="K101:N101"/>
    <mergeCell ref="O101:Q101"/>
    <mergeCell ref="R101:S101"/>
    <mergeCell ref="T101:U101"/>
    <mergeCell ref="V101:W101"/>
    <mergeCell ref="X101:Y101"/>
    <mergeCell ref="V106:W106"/>
    <mergeCell ref="X106:Y106"/>
    <mergeCell ref="V105:W105"/>
    <mergeCell ref="X105:Y105"/>
    <mergeCell ref="G106:J106"/>
    <mergeCell ref="K106:N106"/>
    <mergeCell ref="O106:Q106"/>
    <mergeCell ref="R106:S106"/>
    <mergeCell ref="T106:U106"/>
    <mergeCell ref="C163:F163"/>
    <mergeCell ref="G163:J163"/>
    <mergeCell ref="O163:Q163"/>
    <mergeCell ref="R163:S163"/>
    <mergeCell ref="T163:U163"/>
    <mergeCell ref="V163:W163"/>
    <mergeCell ref="X163:Y163"/>
    <mergeCell ref="V166:W166"/>
    <mergeCell ref="X166:Y166"/>
    <mergeCell ref="K163:N163"/>
    <mergeCell ref="A164:Y164"/>
    <mergeCell ref="C165:F165"/>
    <mergeCell ref="G165:J165"/>
    <mergeCell ref="K165:W165"/>
    <mergeCell ref="C166:F166"/>
    <mergeCell ref="G166:J166"/>
    <mergeCell ref="C175:F175"/>
    <mergeCell ref="G175:J175"/>
    <mergeCell ref="C172:F172"/>
    <mergeCell ref="C173:F173"/>
    <mergeCell ref="G173:J173"/>
    <mergeCell ref="K173:N173"/>
    <mergeCell ref="O173:Q173"/>
    <mergeCell ref="R173:S173"/>
    <mergeCell ref="T173:U173"/>
    <mergeCell ref="K176:N176"/>
    <mergeCell ref="O176:Q176"/>
    <mergeCell ref="V173:W173"/>
    <mergeCell ref="X173:Y173"/>
    <mergeCell ref="V176:W176"/>
    <mergeCell ref="X176:Y176"/>
    <mergeCell ref="K175:W175"/>
    <mergeCell ref="C176:F176"/>
    <mergeCell ref="G176:J176"/>
    <mergeCell ref="V180:W180"/>
    <mergeCell ref="X180:Y180"/>
    <mergeCell ref="R181:S181"/>
    <mergeCell ref="T181:U181"/>
    <mergeCell ref="T182:U182"/>
    <mergeCell ref="V182:W182"/>
    <mergeCell ref="V181:W181"/>
    <mergeCell ref="X181:Y181"/>
    <mergeCell ref="X183:Y183"/>
    <mergeCell ref="X182:Y182"/>
    <mergeCell ref="R176:S176"/>
    <mergeCell ref="T176:U176"/>
    <mergeCell ref="R177:S177"/>
    <mergeCell ref="T177:U177"/>
    <mergeCell ref="V177:W177"/>
    <mergeCell ref="X177:Y177"/>
    <mergeCell ref="R182:S182"/>
    <mergeCell ref="R166:S166"/>
    <mergeCell ref="T166:U166"/>
    <mergeCell ref="R167:S167"/>
    <mergeCell ref="T167:U167"/>
    <mergeCell ref="V167:W167"/>
    <mergeCell ref="X167:Y167"/>
    <mergeCell ref="R183:S183"/>
    <mergeCell ref="T183:U183"/>
    <mergeCell ref="R178:S178"/>
    <mergeCell ref="T178:U178"/>
    <mergeCell ref="V178:W178"/>
    <mergeCell ref="X178:Y178"/>
    <mergeCell ref="V179:W179"/>
    <mergeCell ref="X179:Y179"/>
    <mergeCell ref="R179:S179"/>
    <mergeCell ref="T179:U179"/>
    <mergeCell ref="R180:S180"/>
    <mergeCell ref="T180:U180"/>
    <mergeCell ref="G178:J178"/>
    <mergeCell ref="K178:N178"/>
    <mergeCell ref="C177:F177"/>
    <mergeCell ref="G177:J177"/>
    <mergeCell ref="K177:N177"/>
    <mergeCell ref="O177:Q177"/>
    <mergeCell ref="O178:Q178"/>
    <mergeCell ref="C178:F178"/>
    <mergeCell ref="C179:F179"/>
    <mergeCell ref="G179:J179"/>
    <mergeCell ref="K179:N179"/>
    <mergeCell ref="O179:Q179"/>
    <mergeCell ref="K180:N180"/>
    <mergeCell ref="O180:Q180"/>
    <mergeCell ref="G159:J159"/>
    <mergeCell ref="K159:N159"/>
    <mergeCell ref="O159:Q159"/>
    <mergeCell ref="R159:S159"/>
    <mergeCell ref="T159:U159"/>
    <mergeCell ref="V159:W159"/>
    <mergeCell ref="X159:Y159"/>
    <mergeCell ref="C159:F159"/>
    <mergeCell ref="C160:F160"/>
    <mergeCell ref="G160:J160"/>
    <mergeCell ref="K160:N160"/>
    <mergeCell ref="O160:Q160"/>
    <mergeCell ref="R160:S160"/>
    <mergeCell ref="T160:U160"/>
    <mergeCell ref="G161:J161"/>
    <mergeCell ref="K161:N161"/>
    <mergeCell ref="O161:Q161"/>
    <mergeCell ref="R161:S161"/>
    <mergeCell ref="T161:U161"/>
    <mergeCell ref="V161:W161"/>
    <mergeCell ref="X161:Y161"/>
    <mergeCell ref="V162:W162"/>
    <mergeCell ref="X162:Y162"/>
    <mergeCell ref="C161:F161"/>
    <mergeCell ref="C162:F162"/>
    <mergeCell ref="G162:J162"/>
    <mergeCell ref="K162:N162"/>
    <mergeCell ref="O162:Q162"/>
    <mergeCell ref="R162:S162"/>
    <mergeCell ref="T162:U162"/>
    <mergeCell ref="G180:J180"/>
    <mergeCell ref="C180:F180"/>
    <mergeCell ref="C181:F181"/>
    <mergeCell ref="G181:J181"/>
    <mergeCell ref="K181:N181"/>
    <mergeCell ref="O181:Q181"/>
    <mergeCell ref="K182:N182"/>
    <mergeCell ref="O182:Q182"/>
    <mergeCell ref="V183:W183"/>
    <mergeCell ref="C182:F182"/>
    <mergeCell ref="C183:F183"/>
    <mergeCell ref="G183:J183"/>
    <mergeCell ref="K183:N183"/>
    <mergeCell ref="O183:Q183"/>
    <mergeCell ref="G182:J182"/>
    <mergeCell ref="V142:W142"/>
    <mergeCell ref="X142:Y142"/>
    <mergeCell ref="C143:F143"/>
    <mergeCell ref="G143:J143"/>
    <mergeCell ref="O143:Q143"/>
    <mergeCell ref="R143:S143"/>
    <mergeCell ref="X143:Y143"/>
    <mergeCell ref="R146:S146"/>
    <mergeCell ref="T146:U146"/>
    <mergeCell ref="R147:S147"/>
    <mergeCell ref="T147:U147"/>
    <mergeCell ref="R148:S148"/>
    <mergeCell ref="T148:U148"/>
    <mergeCell ref="V146:W146"/>
    <mergeCell ref="X146:Y146"/>
    <mergeCell ref="V147:W147"/>
    <mergeCell ref="X147:Y147"/>
    <mergeCell ref="V148:W148"/>
    <mergeCell ref="X148:Y148"/>
    <mergeCell ref="K143:N143"/>
    <mergeCell ref="A144:Y144"/>
    <mergeCell ref="C145:F145"/>
    <mergeCell ref="G145:J145"/>
    <mergeCell ref="K145:W145"/>
    <mergeCell ref="C146:F146"/>
    <mergeCell ref="G146:J146"/>
    <mergeCell ref="K146:N146"/>
    <mergeCell ref="O146:Q146"/>
    <mergeCell ref="C147:F147"/>
    <mergeCell ref="G147:J147"/>
    <mergeCell ref="K147:N147"/>
    <mergeCell ref="O147:Q147"/>
    <mergeCell ref="O148:Q148"/>
    <mergeCell ref="V149:W149"/>
    <mergeCell ref="X149:Y149"/>
    <mergeCell ref="V151:W151"/>
    <mergeCell ref="X151:Y151"/>
    <mergeCell ref="V158:W158"/>
    <mergeCell ref="X158:Y158"/>
    <mergeCell ref="C157:F157"/>
    <mergeCell ref="C158:F158"/>
    <mergeCell ref="G158:J158"/>
    <mergeCell ref="K158:N158"/>
    <mergeCell ref="O158:Q158"/>
    <mergeCell ref="R158:S158"/>
    <mergeCell ref="T158:U158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O151:Q151"/>
    <mergeCell ref="R151:S151"/>
    <mergeCell ref="T151:U151"/>
    <mergeCell ref="G152:J152"/>
    <mergeCell ref="K152:N152"/>
    <mergeCell ref="O152:Q152"/>
    <mergeCell ref="R152:S152"/>
    <mergeCell ref="T152:U152"/>
    <mergeCell ref="V152:W152"/>
    <mergeCell ref="X152:Y152"/>
    <mergeCell ref="V153:W153"/>
    <mergeCell ref="X153:Y153"/>
    <mergeCell ref="C152:F152"/>
    <mergeCell ref="G153:J153"/>
    <mergeCell ref="K153:N153"/>
    <mergeCell ref="O153:Q153"/>
    <mergeCell ref="R153:S153"/>
    <mergeCell ref="T153:U153"/>
    <mergeCell ref="A154:Y154"/>
    <mergeCell ref="K155:W155"/>
    <mergeCell ref="C153:F153"/>
    <mergeCell ref="C155:F155"/>
    <mergeCell ref="G155:J155"/>
    <mergeCell ref="C156:F156"/>
    <mergeCell ref="G156:J156"/>
    <mergeCell ref="K156:N156"/>
    <mergeCell ref="O156:Q156"/>
    <mergeCell ref="V160:W160"/>
    <mergeCell ref="X160:Y160"/>
    <mergeCell ref="G168:J168"/>
    <mergeCell ref="K168:N168"/>
    <mergeCell ref="R168:S168"/>
    <mergeCell ref="T168:U168"/>
    <mergeCell ref="V168:W168"/>
    <mergeCell ref="X168:Y168"/>
    <mergeCell ref="K166:N166"/>
    <mergeCell ref="O166:Q166"/>
    <mergeCell ref="C167:F167"/>
    <mergeCell ref="G167:J167"/>
    <mergeCell ref="K167:N167"/>
    <mergeCell ref="O167:Q167"/>
    <mergeCell ref="O168:Q168"/>
    <mergeCell ref="V169:W169"/>
    <mergeCell ref="X169:Y169"/>
    <mergeCell ref="C168:F168"/>
    <mergeCell ref="C169:F169"/>
    <mergeCell ref="G169:J169"/>
    <mergeCell ref="K169:N169"/>
    <mergeCell ref="O169:Q169"/>
    <mergeCell ref="R169:S169"/>
    <mergeCell ref="T169:U169"/>
    <mergeCell ref="G170:J170"/>
    <mergeCell ref="K170:N170"/>
    <mergeCell ref="O170:Q170"/>
    <mergeCell ref="R170:S170"/>
    <mergeCell ref="T170:U170"/>
    <mergeCell ref="V170:W170"/>
    <mergeCell ref="X170:Y170"/>
    <mergeCell ref="C170:F170"/>
    <mergeCell ref="C171:F171"/>
    <mergeCell ref="G171:J171"/>
    <mergeCell ref="K171:N171"/>
    <mergeCell ref="O171:Q171"/>
    <mergeCell ref="R171:S171"/>
    <mergeCell ref="T171:U171"/>
    <mergeCell ref="T172:U172"/>
    <mergeCell ref="V172:W172"/>
    <mergeCell ref="V171:W171"/>
    <mergeCell ref="X171:Y171"/>
    <mergeCell ref="G172:J172"/>
    <mergeCell ref="K172:N172"/>
    <mergeCell ref="O172:Q172"/>
    <mergeCell ref="R172:S172"/>
    <mergeCell ref="X172:Y172"/>
  </mergeCells>
  <drawing r:id="rId1"/>
</worksheet>
</file>